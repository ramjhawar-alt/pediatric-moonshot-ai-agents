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im12951/Documents/My Documents/BevelCloud/Company/Track 4/Cardiology/"/>
    </mc:Choice>
  </mc:AlternateContent>
  <xr:revisionPtr revIDLastSave="0" documentId="13_ncr:1_{2FB3962A-761D-D14B-8891-F1A7C378257D}" xr6:coauthVersionLast="47" xr6:coauthVersionMax="47" xr10:uidLastSave="{00000000-0000-0000-0000-000000000000}"/>
  <bookViews>
    <workbookView xWindow="0" yWindow="500" windowWidth="30520" windowHeight="15460" tabRatio="500" activeTab="12" xr2:uid="{00000000-000D-0000-FFFF-FFFF00000000}"/>
  </bookViews>
  <sheets>
    <sheet name="1 BAV" sheetId="1" r:id="rId1"/>
    <sheet name="BAV Prog" sheetId="2" r:id="rId2"/>
    <sheet name="25 HCM" sheetId="3" r:id="rId3"/>
    <sheet name="HCM Prog" sheetId="4" r:id="rId4"/>
    <sheet name="36 DCM" sheetId="5" r:id="rId5"/>
    <sheet name="DCM Prog" sheetId="6" r:id="rId6"/>
    <sheet name="40 Kawasaki" sheetId="7" r:id="rId7"/>
    <sheet name="Kawasaki Prog" sheetId="8" r:id="rId8"/>
    <sheet name="56 PAH" sheetId="9" r:id="rId9"/>
    <sheet name="PAH Prog" sheetId="10" r:id="rId10"/>
    <sheet name="59 LQTS" sheetId="11" r:id="rId11"/>
    <sheet name="LQTS Prog" sheetId="12" r:id="rId12"/>
    <sheet name="80 Pulmonary Valve RVOT" sheetId="13" r:id="rId13"/>
    <sheet name="RVOT Prog" sheetId="14" r:id="rId14"/>
    <sheet name="Maternal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5" l="1"/>
  <c r="D29" i="7"/>
  <c r="D26" i="3"/>
  <c r="D28" i="1"/>
</calcChain>
</file>

<file path=xl/sharedStrings.xml><?xml version="1.0" encoding="utf-8"?>
<sst xmlns="http://schemas.openxmlformats.org/spreadsheetml/2006/main" count="1239" uniqueCount="750">
  <si>
    <t>HCM Progression Framework — Pediatric Moonshot</t>
  </si>
  <si>
    <t>Hypertrophic Cardiomyopathy  |  100-Point Adverse Prognostic Score  |  ACC/AHA 2020 HCM Guidelines / ESC 2014 HCM Guidelines / HCM Risk-SCD Model  |  Progression Trajectory: Fast / Moderate / Slow</t>
  </si>
  <si>
    <t>Domain</t>
  </si>
  <si>
    <t>Question</t>
  </si>
  <si>
    <t>Confirming Answer</t>
  </si>
  <si>
    <t>Pts</t>
  </si>
  <si>
    <t>Cost</t>
  </si>
  <si>
    <t>SCD RISK MARKERS — 30 pts</t>
  </si>
  <si>
    <t>Massive Hypertrophy</t>
  </si>
  <si>
    <t>Is maximum LV wall thickness ≥30 mm on echo or CMR?</t>
  </si>
  <si>
    <t>Yes — massive hypertrophy; major SCD risk factor; strongly supports ICD implantation per ACC/AHA</t>
  </si>
  <si>
    <t>Small</t>
  </si>
  <si>
    <t>LGE Fibrosis Burden</t>
  </si>
  <si>
    <t>Does CMR show late gadolinium enhancement (LGE) involving &gt;15% of LV mass?</t>
  </si>
  <si>
    <t>Yes — extensive fibrosis confirmed; &gt;15% LGE is a major independent SCD risk factor; ICD implantation recommended</t>
  </si>
  <si>
    <t>Large</t>
  </si>
  <si>
    <t>NSVT on Monitoring</t>
  </si>
  <si>
    <t>Is there documented non-sustained ventricular tachycardia (NSVT ≥3 beats, ≥120 bpm) on Holter or event monitor?</t>
  </si>
  <si>
    <t>Yes — NSVT confirmed; major SCD risk factor in HCM Risk-SCD calculator; prompts ICD discussion</t>
  </si>
  <si>
    <t>Abnormal BP Response</t>
  </si>
  <si>
    <t>Is there an abnormal blood pressure response to exercise (failure to rise ≥20 mmHg or a drop) on stress test?</t>
  </si>
  <si>
    <t>Yes — inability to augment cardiac output; predicts SCD particularly in patients &lt;40 years</t>
  </si>
  <si>
    <t>Medium</t>
  </si>
  <si>
    <t>LVOT OBSTRUCTION AND HEMODYNAMICS — 20 pts</t>
  </si>
  <si>
    <t>Resting LVOT Gradient</t>
  </si>
  <si>
    <t>Is the resting LVOT gradient ≥50 mmHg on Doppler echo (severe obstruction)?</t>
  </si>
  <si>
    <t>Yes — severe resting obstruction; symptomatic HOCM; septal reduction therapy (myectomy or alcohol ablation) indicated per ACC/AHA Class I</t>
  </si>
  <si>
    <t>Provoked LVOT Gradient</t>
  </si>
  <si>
    <t>Does LVOT gradient rise to ≥50 mmHg with Valsalva or exercise provocation?</t>
  </si>
  <si>
    <t>Yes — labile obstruction confirmed; physiologic stress unmasks severe gradient; equivalent to resting obstruction for intervention eligibility</t>
  </si>
  <si>
    <t>LV FUNCTION AND STRUCTURAL REMODELING — 20 pts</t>
  </si>
  <si>
    <t>LV Systolic Dysfunction</t>
  </si>
  <si>
    <t>Is LVEF &lt;50% on echo or CMR (HCM burned-out phase with systolic dysfunction)?</t>
  </si>
  <si>
    <t>Yes — end-stage/burned-out HCM with systolic dysfunction; worst prognosis subgroup; heart failure hospitalization and transplant listing risk elevated</t>
  </si>
  <si>
    <t>LV Dilation</t>
  </si>
  <si>
    <t>Is LV end-diastolic diameter &gt;54 mm (men) / &gt;50 mm (women) on echo?</t>
  </si>
  <si>
    <t>Yes — LV dilation in HCM indicates transition to dilated phase; associated with progressive heart failure and higher mortality</t>
  </si>
  <si>
    <t>Severe Diastolic Dysfunction</t>
  </si>
  <si>
    <t>Is there Grade III diastolic dysfunction (restrictive filling: E/A &gt;2, deceleration time &lt;150 ms, E/e' &gt;14)?</t>
  </si>
  <si>
    <t>Yes — restrictive diastolic pattern; elevated LA pressures; high heart failure hospitalization risk</t>
  </si>
  <si>
    <t>ATRIAL FIBRILLATION AND ARRHYTHMIA BURDEN — 15 pts</t>
  </si>
  <si>
    <t>Atrial Fibrillation</t>
  </si>
  <si>
    <t>Is there documented paroxysmal, persistent, or permanent atrial fibrillation on ECG or monitor?</t>
  </si>
  <si>
    <t>Yes — AF present in ~20–25% of HCM; major cause of heart failure progression and stroke; anticoagulation mandatory; rhythm control challenging</t>
  </si>
  <si>
    <t>LA Severe Dilation</t>
  </si>
  <si>
    <t>Is LA diameter &gt;45 mm or LA volume index &gt;34 mL/m² on echo?</t>
  </si>
  <si>
    <t>Yes — severe LA dilation; strong predictor of AF development and stroke risk in HCM; associated with worse symptom burden and outcomes</t>
  </si>
  <si>
    <t>GENETICS AND FAMILY HISTORY — 10 pts</t>
  </si>
  <si>
    <t>High-Risk Genotype</t>
  </si>
  <si>
    <t>Is there a pathogenic variant in MYH7 or TNNT2 (associated with early-onset severe phenotype and high SCD risk)?</t>
  </si>
  <si>
    <t>Yes — high-risk sarcomere variant confirmed; MYH7 and TNNT2 variants associated with more severe hypertrophy, earlier onset, and higher SCD rates than MYBPC3</t>
  </si>
  <si>
    <t>Family SCD History</t>
  </si>
  <si>
    <t>Is there sudden cardiac death in a first- or second-degree relative under age 50?</t>
  </si>
  <si>
    <t>Yes — family SCD history; independent risk factor in HCM Risk-SCD calculator; lowers ICD threshold</t>
  </si>
  <si>
    <t>SYMPTOMS AND FUNCTIONAL STATUS — 5 pts</t>
  </si>
  <si>
    <t>NYHA Class</t>
  </si>
  <si>
    <t>Is the patient NYHA Class III or IV despite optimal medical therapy (beta-blocker, verapamil, disopyramide)?</t>
  </si>
  <si>
    <t>Yes — refractory symptoms on maximal medical therapy; septal reduction therapy or advanced heart failure management indicated</t>
  </si>
  <si>
    <t>Exercise Syncope</t>
  </si>
  <si>
    <t>Is there a history of unexplained syncope or near-syncope during or immediately after exertion?</t>
  </si>
  <si>
    <t>Yes — exercise-induced syncope in HCM; high SCD risk marker; ICD implantation strongly considered</t>
  </si>
  <si>
    <t>TOTAL</t>
  </si>
  <si>
    <t>PROGRESSION SCORE INTERPRETATION</t>
  </si>
  <si>
    <t>66–100</t>
  </si>
  <si>
    <t>🔴 Fast Progression — High SCD risk burden + severe obstruction or LV dysfunction + AF; ICD implantation, septal reduction therapy, and/or advanced HF referral indicated</t>
  </si>
  <si>
    <t>21–65</t>
  </si>
  <si>
    <t>🟡 Moderate Progression — Intermediate risk profile; structured HCM clinic every 6–12 months; optimize medical therapy; reassess ICD eligibility annually with HCM Risk-SCD calculator</t>
  </si>
  <si>
    <t>0–20</t>
  </si>
  <si>
    <t>🟢 Slow Progression — Low adverse burden; mild hypertrophy, preserved function, no major SCD risk factors; annual echo + Holter surveillance; lifestyle counseling; favorable long-term trajectory</t>
  </si>
  <si>
    <t>ACC/AHA 2020 HCM Guidelines (Ommen et al.)  |  ESC 2014 HCM Guidelines (Elliott et al.)  |  HCM Risk-SCD Calculator (O'Mahony et al. 2014)  |  Maron et al. NEJM 2003  |  Olivotto et al. JAMA 2001 (AF in HCM)  |  Chan et al. JACC 2014 (LGE and SCD)  |  Rowin et al. Circulation 2017 (end-stage HCM)</t>
  </si>
  <si>
    <t>Bicuspid Aortic Valve  AI Agent</t>
  </si>
  <si>
    <t>Each domain question draws from the complete medical record. Points reflect diagnostic weight. Cost reflects typical test burden: Small = existing record / standard echo  |  Medium = targeted test or genetic panel ($200–$1,500)  |  Large = advanced imaging CT/MRI ($1,500–$5,000+)</t>
  </si>
  <si>
    <t>ECHOCARDIOGRAPHIC / IMAGING — 45 pts</t>
  </si>
  <si>
    <t>Echo / Imaging</t>
  </si>
  <si>
    <t>Does 2D echo show bicuspid aortic valve morphology (2 cusps, raphe visible on parasternal short axis)?</t>
  </si>
  <si>
    <t>Yes — clearly bicuspid</t>
  </si>
  <si>
    <t>Is there doming or restricted cusp opening on echo?</t>
  </si>
  <si>
    <t>Yes</t>
  </si>
  <si>
    <t>Is there aortic root or ascending aorta dilation (Z-score &gt;2 in children; &gt;4.0 cm in adults)?</t>
  </si>
  <si>
    <t>Does CT/MRI angiography confirm bicuspid morphology and aortic dimensions?</t>
  </si>
  <si>
    <t>Yes — gold standard confirmation</t>
  </si>
  <si>
    <t>PHYSICAL EXAM / AUSCULTATION — 15 pts</t>
  </si>
  <si>
    <t>Physical Exam</t>
  </si>
  <si>
    <t>Is there a systolic ejection murmur at the right upper sternal border?</t>
  </si>
  <si>
    <t>Yes, grade II–IV/VI</t>
  </si>
  <si>
    <t>Is there an ejection click (early systolic click at apex or base)?</t>
  </si>
  <si>
    <t>Yes — highly specific for BAV</t>
  </si>
  <si>
    <t>Is there a diastolic murmur suggesting aortic regurgitation?</t>
  </si>
  <si>
    <t>FAMILY HISTORY / GENETICS — 15 pts</t>
  </si>
  <si>
    <t>Family Hx / Genetics</t>
  </si>
  <si>
    <t>Is there a first-degree relative with confirmed BAV?</t>
  </si>
  <si>
    <t>Is there a family history of aortic aneurysm or dissection?</t>
  </si>
  <si>
    <t>Is there a known associated genetic condition (Turner syndrome, Williams syndrome, coarctation family history)?</t>
  </si>
  <si>
    <t>HEMODYNAMIC / DOPPLER — 12 pts</t>
  </si>
  <si>
    <t>Hemodynamic / Doppler</t>
  </si>
  <si>
    <t>Is there an elevated peak aortic valve gradient on Doppler (&gt;20 mmHg mild; &gt;40 mmHg moderate)?</t>
  </si>
  <si>
    <t>Is there an aortic regurgitation jet on color Doppler?</t>
  </si>
  <si>
    <t>Yes — any severity</t>
  </si>
  <si>
    <t>Is there LV hypertrophy on echo (from chronic pressure overload)?</t>
  </si>
  <si>
    <t>ASSOCIATED CONDITIONS — 8 pts</t>
  </si>
  <si>
    <t>Associated Conditions</t>
  </si>
  <si>
    <t>Is there a confirmed coarctation of the aorta? (BAV coexists in 50–70% of coarctation cases)</t>
  </si>
  <si>
    <t>Is there Turner syndrome (45,X karyotype)?</t>
  </si>
  <si>
    <t>Is there a history of endocarditis? (BAV is #1 risk factor for native valve endocarditis)</t>
  </si>
  <si>
    <t>SYMPTOMS — 5 pts</t>
  </si>
  <si>
    <t>Symptoms</t>
  </si>
  <si>
    <t>Is there exertional dyspnea, chest pain, or syncope?</t>
  </si>
  <si>
    <t>Is there reduced exercise tolerance documented on stress test?</t>
  </si>
  <si>
    <t>CONFIDENCE SCORE INTERPRETATION</t>
  </si>
  <si>
    <t>🔴  80–100</t>
  </si>
  <si>
    <t>High confidence — BAV confirmed or highly probable; proceed to surveillance protocol with serial echo; referral to cardiology for aortic root monitoring; genetic counseling for first-degree relatives</t>
  </si>
  <si>
    <t>🟡  50–79</t>
  </si>
  <si>
    <t>Moderate confidence — diagnostic echo indicated if not yet completed; screening of first-degree relatives warranted given autosomal dominant inheritance pattern</t>
  </si>
  <si>
    <t>🟢  &lt;50</t>
  </si>
  <si>
    <t>Low confidence — insufficient evidence; screening echo warranted if family history or associated findings present; reassess if new clinical findings emerge</t>
  </si>
  <si>
    <t>Anita</t>
  </si>
  <si>
    <t>BAV Progression Framework — Pediatric Moonshot</t>
  </si>
  <si>
    <t>Bicuspid Aortic Valve  |  100-Point Adverse Prognostic Score  |  ACC/AHA 2021 BAV Guidelines / ESC 2021 VHD  |  Progression Trajectory: Fast / Moderate / Slow</t>
  </si>
  <si>
    <t>ECHOCARDIOGRAPHIC / VALVE HEMODYNAMICS — 25 pts</t>
  </si>
  <si>
    <t>Aortic Stenosis</t>
  </si>
  <si>
    <t>Is peak aortic jet velocity ≥4.0 m/s (severe AS) or mean gradient ≥40 mmHg on Doppler echo?</t>
  </si>
  <si>
    <t>Yes — severe AS confirmed (Vmax ≥4.0 m/s or mean gradient ≥40 mmHg)</t>
  </si>
  <si>
    <t>Aortic Regurgitation</t>
  </si>
  <si>
    <t>Is aortic regurgitation severe (vena contracta &gt;6 mm, regurgitant fraction &gt;50%, or LVEDD &gt;65 mm)?</t>
  </si>
  <si>
    <t>Yes — severe AR confirmed</t>
  </si>
  <si>
    <t>AORTOPATHY / AORTIC DILATION — 25 pts</t>
  </si>
  <si>
    <t>Aortic Dilation</t>
  </si>
  <si>
    <t>Is aortic root or ascending aorta ≥4.5 cm (adults) or Z-score ≥4 (pediatric) on echo or CT/MRI?</t>
  </si>
  <si>
    <t>Yes — aortic dilation at or above surgical threshold</t>
  </si>
  <si>
    <t>Rate of Growth</t>
  </si>
  <si>
    <t>Has aortic diameter increased ≥0.5 cm/year on serial imaging over ≥2 measurement intervals?</t>
  </si>
  <si>
    <t>Yes — rapid growth confirmed; surgical repair indicated regardless of absolute size</t>
  </si>
  <si>
    <t>Multi-segment Involvement</t>
  </si>
  <si>
    <t>Does CT/MRI show aortic arch or descending aorta involvement beyond the sino-tubular junction?</t>
  </si>
  <si>
    <t>Yes — pan-aortic disease phenotype; annual full-aorta imaging required</t>
  </si>
  <si>
    <t>LEFT VENTRICULAR FUNCTION AND REMODELING — 20 pts</t>
  </si>
  <si>
    <t>LV Ejection Fraction</t>
  </si>
  <si>
    <t>Is LVEF &lt;50% on echo or cardiac MRI (systolic dysfunction)?</t>
  </si>
  <si>
    <t>Yes — LV systolic dysfunction confirmed; Class I surgical indication</t>
  </si>
  <si>
    <t>LV Hypertrophy</t>
  </si>
  <si>
    <t>Is LV mass index &gt;115 g/m² (men) / &gt;95 g/m² (women) or septal thickness &gt;13 mm on echo?</t>
  </si>
  <si>
    <t>Yes — significant LVH confirmed; pressure overload from AS</t>
  </si>
  <si>
    <t>Diastolic Dysfunction</t>
  </si>
  <si>
    <t>Is there Grade II or III diastolic dysfunction (E/e' ratio &gt;14, LA dilation, elevated filling pressures)?</t>
  </si>
  <si>
    <t>Yes — elevated LV filling pressures confirmed</t>
  </si>
  <si>
    <t>High-Risk Genetic Syndrome</t>
  </si>
  <si>
    <t>Is there confirmed Turner syndrome (45,X), Loeys-Dietz, or ACTA2/MYH11/TGFBR1/2 pathogenic variant?</t>
  </si>
  <si>
    <t>Yes — high-risk connective tissue syndrome; lower surgical threshold applies</t>
  </si>
  <si>
    <t>Family History</t>
  </si>
  <si>
    <t>Is there a first-degree relative with aortic dissection, aneurysm ≥5 cm, or confirmed BAV?</t>
  </si>
  <si>
    <t>Yes — familial BAV or dissection history confirmed</t>
  </si>
  <si>
    <t>Coarctation of the Aorta</t>
  </si>
  <si>
    <t>Is there a confirmed or repaired coarctation of the aorta (gradient &gt;20 mmHg or prior repair)?</t>
  </si>
  <si>
    <t>Yes — BAV + CoA co-occurrence; higher risk of LV dysfunction and hypertension</t>
  </si>
  <si>
    <t>SYMPTOMS / FUNCTIONAL STATUS — 10 pts</t>
  </si>
  <si>
    <t>Symptomatic Status</t>
  </si>
  <si>
    <t>Is the patient symptomatic from BAV disease (NYHA Class II–IV dyspnea, angina, or syncope)?</t>
  </si>
  <si>
    <t>Yes — symptoms present; Class I trigger for surgical intervention</t>
  </si>
  <si>
    <t>Exercise Capacity</t>
  </si>
  <si>
    <t>Does exercise testing show reduced functional capacity (&lt;80% predicted METs) or abnormal BP response?</t>
  </si>
  <si>
    <t>Yes — reduced exercise capacity confirms symptomatic reclassification</t>
  </si>
  <si>
    <t>ASSOCIATED CONDITIONS — 5 pts</t>
  </si>
  <si>
    <t>Infective Endocarditis</t>
  </si>
  <si>
    <t>Is there a prior episode of infective endocarditis on the BAV?</t>
  </si>
  <si>
    <t>Yes — prior IE confirmed; accelerated valvular destruction risk</t>
  </si>
  <si>
    <t>Prior BAV Intervention</t>
  </si>
  <si>
    <t>Has the patient had prior balloon valvuloplasty, surgical AVR, or TAVI?</t>
  </si>
  <si>
    <t>Yes — structural valve deterioration or prosthesis mismatch risk</t>
  </si>
  <si>
    <t>🔴 Fast Progression — Severe valve disease + aortopathy + LV compromise; urgent surgical evaluation; AVR ± aortic replacement</t>
  </si>
  <si>
    <t>🟡 Moderate Progression — Moderate disease or aortic dilation with preserved LV; structured heart valve clinic every 6–12 months</t>
  </si>
  <si>
    <t>🟢 Slow Progression — Mild abnormality, minimal aortopathy, normal LV function; annual echo surveillance; favorable long-term outlook</t>
  </si>
  <si>
    <t>ACC/AHA 2021 VHD Guidelines (Otto et al.)  |  ESC/EACTS 2021 VHD Guidelines  |  BAVS Registry  |  Michelena et al. JAMA 2011  |  Tzemos et al. JAMA 2008  |  Siu &amp; Silversides JACC 2010  |  Evangelista et al. JACC 2013</t>
  </si>
  <si>
    <t>Hypertrophic Cardiomyopathy (HCM)  AI Agent</t>
  </si>
  <si>
    <t>Each domain question draws from the complete medical record. Points reflect diagnostic weight. Cost:  Small = existing record / standard echo or ECG  |  Medium = targeted test or genetic panel ($200-$1,500)  |  Large = advanced imaging CMR / EP study ($1,500-$5,000+)</t>
  </si>
  <si>
    <t>ECHOCARDIOGRAPHIC FINDINGS - 35 pts</t>
  </si>
  <si>
    <t>Is there unexplained LV wall thickening &gt;=15 mm (or &gt;=13 mm with positive family history or pathogenic variant) on 2D echo in the absence of another cause?</t>
  </si>
  <si>
    <t>Yes - the primary diagnostic criterion per ACC/AHA and ESC guidelines</t>
  </si>
  <si>
    <t>Is there asymmetric septal hypertrophy (ASH) with septal-to-posterior wall ratio &gt;1.3 on echo?</t>
  </si>
  <si>
    <t>Yes - disproportionate septal thickening is the classic HCM morphology</t>
  </si>
  <si>
    <t>Is there systolic anterior motion (SAM) of the mitral valve on echo, with dynamic LVOT obstruction (gradient &gt;=30 mmHg at rest or &gt;=50 mmHg with provocation)?</t>
  </si>
  <si>
    <t>Yes - present in ~70% of HCM patients; defines obstructive form (HOCM)</t>
  </si>
  <si>
    <t>CARDIAC MRI (CMR) - 18 pts</t>
  </si>
  <si>
    <t>Cardiac MRI</t>
  </si>
  <si>
    <t>Does CMR confirm LV hypertrophy distribution (apical, septal, concentric, or diffuse) and identify the morphologic subtype?</t>
  </si>
  <si>
    <t>Yes - CMR detects hypertrophy patterns missed by echo, especially apical HCM</t>
  </si>
  <si>
    <t>Is there late gadolinium enhancement (LGE) on CMR indicating myocardial fibrosis?</t>
  </si>
  <si>
    <t>Yes - LGE present in ~65% of HCM patients; extent &gt;15% of LV mass is a major SCD risk factor</t>
  </si>
  <si>
    <t>ECG FINDINGS - 15 pts</t>
  </si>
  <si>
    <t>ECG</t>
  </si>
  <si>
    <t>Is there LV hypertrophy pattern on ECG (Sokolow-Lyon: SV1 + RV5/V6 &gt;35 mm; or Cornell criteria)?</t>
  </si>
  <si>
    <t>Yes - present in 75-95% of HCM patients; often the first abnormality detected</t>
  </si>
  <si>
    <t>Are there deep, narrow Q waves in the lateral or inferior leads (II, III, aVF, V4-V6) on ECG?</t>
  </si>
  <si>
    <t>Yes - 'septal Q waves' from abnormal septal depolarization; present in ~25-50% of HCM</t>
  </si>
  <si>
    <t>Are there T-wave inversions in lateral or precordial leads (particularly deep widespread inversions in apical HCM)?</t>
  </si>
  <si>
    <t>Yes - deep precordial T-wave inversions (&gt;10 mm in V3-V5) are highly characteristic of apical HCM</t>
  </si>
  <si>
    <t>GENETICS - 15 pts</t>
  </si>
  <si>
    <t>Genetics</t>
  </si>
  <si>
    <t>Has genetic testing identified a pathogenic or likely pathogenic sarcomere gene variant (MYH7, MYBPC3, TNNT2, TNNI3, TPM1, MYL2, MYL3, ACTC1)?</t>
  </si>
  <si>
    <t>Yes - MYBPC3 and MYH7 account for ~70% of genotype-positive HCM; confirms diagnosis and enables cascade screening</t>
  </si>
  <si>
    <t>Is there a first-degree relative with confirmed HCM diagnosis or pathogenic sarcomere variant?</t>
  </si>
  <si>
    <t>Yes - ~50% transmission; triggers mandatory screening of all first-degree relatives</t>
  </si>
  <si>
    <t>SYMPTOMS AND CLINICAL HISTORY - 10 pts</t>
  </si>
  <si>
    <t>Is there exertional dyspnea, chest pain, or pre-syncope/syncope on exertion?</t>
  </si>
  <si>
    <t>Yes - LVOT obstruction worsens with exercise; symptoms correlate with outflow gradient</t>
  </si>
  <si>
    <t>Is there a history of unexplained syncope, especially exercise-induced or in a young patient?</t>
  </si>
  <si>
    <t>Yes - exercise-induced syncope in HCM carries high SCD risk; triggers ICD evaluation</t>
  </si>
  <si>
    <t>Is there a family history of sudden cardiac death at a young age (&lt;50 years) in a first- or second-degree relative?</t>
  </si>
  <si>
    <t>Yes - family SCD history is an independent risk factor in HCM SCD risk calculators</t>
  </si>
  <si>
    <t>SCD RISK MARKERS - 7 pts</t>
  </si>
  <si>
    <t>SCD Risk</t>
  </si>
  <si>
    <t>Is the maximum LV wall thickness &gt;=30 mm on echo or CMR?</t>
  </si>
  <si>
    <t>Yes - massive hypertrophy (&gt;=30 mm) is a major SCD risk factor; strongly supports ICD implantation</t>
  </si>
  <si>
    <t>Is there documented non-sustained ventricular tachycardia (NSVT) on Holter or event monitor?</t>
  </si>
  <si>
    <t>Yes - NSVT on ambulatory monitoring is a major SCD risk factor per HCM Risk-SCD model</t>
  </si>
  <si>
    <t>Is there an abnormal blood pressure response to exercise (failure to rise &gt;=20 mmHg or a drop) on exercise stress test?</t>
  </si>
  <si>
    <t>Yes - abnormal BP response reflects inability to augment cardiac output; predicts SCD in young HCM patients</t>
  </si>
  <si>
    <t>High confidence — HCM confirmed; proceed to SCD risk stratification (HCM Risk-SCD score), genetic testing, and cascade family screening; CMR for LGE quantification</t>
  </si>
  <si>
    <t>Moderate confidence — CMR indicated to confirm hypertrophy pattern and assess for LGE fibrosis; genetic testing recommended; echo with provocation (Valsalva, exercise)</t>
  </si>
  <si>
    <t>Low confidence — insufficient evidence; echo with provocation warranted; rule out phenocopies (Fabry, Friedreich's, athlete's heart); reassess with complete cardiac imaging before ruling out HCM</t>
  </si>
  <si>
    <t>Dilated Cardiomyopathy (DCM)  AI Agent</t>
  </si>
  <si>
    <t>Each domain question draws from the complete medical record. Points reflect diagnostic weight. Cost reflects typical test burden: Small = existing record / standard echo  |  Medium = targeted test or genetic panel ($200–$1,500)  |  Large = advanced imaging CT/MRI/RHC ($1,500–$5,000+)</t>
  </si>
  <si>
    <t>ECHOCARDIOGRAPHIC FINDINGS — 30 pts</t>
  </si>
  <si>
    <t>Is there LV dilation (LVEDd Z-score &gt;2 in children; &gt;5.5 cm in adults) with global systolic dysfunction on 2D echo?</t>
  </si>
  <si>
    <t>Yes — LV dilation + reduced EF is the primary diagnostic criterion for DCM; Z-score &gt;2 corrects for body surface area in pediatric patients</t>
  </si>
  <si>
    <t>Is LV ejection fraction (LVEF) &lt;45% (or &lt;50% by biplane Simpson in symptomatic patients) on echo or cardiac MRI?</t>
  </si>
  <si>
    <t>Yes — LVEF &lt;45% with dilation defines DCM in the absence of another cause; distinguishes from HFpEF; &lt;35% triggers ICD consideration</t>
  </si>
  <si>
    <t>Is there functional mitral regurgitation (FMR) from annular dilation and papillary muscle displacement?</t>
  </si>
  <si>
    <t>Yes — FMR is present in ~50% of DCM and contributes to hemodynamic deterioration; severity worsens with progressive LV dilation</t>
  </si>
  <si>
    <t>CARDIAC MRI (CMR) — 18 pts</t>
  </si>
  <si>
    <t>Does CMR confirm LV dilation, EF, and distinguish DCM from ischemic cardiomyopathy (subendocardial vs. mid-wall fibrosis pattern)?</t>
  </si>
  <si>
    <t>Yes — CMR is gold standard for DCM phenotyping; ischemic LGE (subendocardial/transmural) vs. DCM pattern (mid-wall septal stripe or diffuse) guides etiology and prognosis</t>
  </si>
  <si>
    <t>Is there mid-wall late gadolinium enhancement (LGE) on CMR indicating myocardial fibrosis (present in ~30% of DCM)?</t>
  </si>
  <si>
    <t>Yes — mid-wall septal LGE in DCM is an independent predictor of SCD, arrhythmia, and adverse outcome; presence supports prophylactic ICD implantation</t>
  </si>
  <si>
    <t>GENETICS / FAMILY HISTORY — 20 pts</t>
  </si>
  <si>
    <t>Has genetic testing identified a pathogenic variant in TTN (most common: ~20–25% of familial DCM), LMNA, SCN5A, MYH7, MYBPC3, RBM20, FLNC, or PLN?</t>
  </si>
  <si>
    <t>Yes — TTN truncating variants are most common; LMNA mutations carry highest arrhythmia/SCD risk requiring early ICD; confirms genetic DCM and enables cascade family screening</t>
  </si>
  <si>
    <t>Is there a first-degree relative with confirmed DCM (familial DCM present in 20–50% of cases when systematic family screening performed)?</t>
  </si>
  <si>
    <t>Yes — family history changes classification to familial DCM; triggers echo screening of all first-degree relatives; increases likelihood of identifying a causative gene</t>
  </si>
  <si>
    <t>Is there an associated genetic syndrome or systemic condition (Duchenne/Becker MD, Barth syndrome, Emery-Dreifuss MD, Friedrich's ataxia, hemochromatosis)?</t>
  </si>
  <si>
    <t>Yes — syndromic DCM carries distinct prognosis and management (e.g., Barth: 3-methylglutaconic aciduria, neutropenia; Duchenne: corticosteroid benefit, respiratory monitoring)</t>
  </si>
  <si>
    <t>ECG FINDINGS — 12 pts</t>
  </si>
  <si>
    <t>Is there LBBB (QRS ≥120 ms with left bundle morphology) or non-specific intraventricular conduction delay (IVCD) on ECG?</t>
  </si>
  <si>
    <t>Yes — LBBB in DCM predicts poor mechanical coordination and LV dyssynchrony; QRS ≥150 ms with LBBB is the strongest predictor of CRT response</t>
  </si>
  <si>
    <t>Is there PR prolongation (first-degree AV block) or advanced AV block, particularly in LMNA-positive DCM?</t>
  </si>
  <si>
    <t>Yes — LMNA cardiomyopathy has a classic phenotype: AV block + DCM + arrhythmia; PR prolongation is often the earliest LMNA manifestation and prompts prophylactic ICD</t>
  </si>
  <si>
    <t>Is there non-sustained ventricular tachycardia (NSVT) on Holter or prolonged event monitor?</t>
  </si>
  <si>
    <t>Yes — NSVT in DCM with LVEF &lt;35% is a major ICD indication; LMNA-positive patients with NSVT have especially high SCD risk even at higher EF</t>
  </si>
  <si>
    <t>BIOMARKERS — 10 pts</t>
  </si>
  <si>
    <t>Biomarkers</t>
  </si>
  <si>
    <t>Is NT-proBNP &gt;1000 pg/mL (or BNP &gt;200 pg/mL) significantly elevated reflecting LV wall stress?</t>
  </si>
  <si>
    <t>Yes — NT-proBNP elevation in DCM correlates with NYHA class, LVEF, and prognosis; serial monitoring guides therapy titration and guides heart failure hospitalization risk</t>
  </si>
  <si>
    <t>Is troponin (hs-TnI or hs-TnT) persistently elevated indicating ongoing myocyte injury (myocarditis etiology possible)?</t>
  </si>
  <si>
    <t>Yes — troponin elevation in new-onset DCM suggests active myocarditis or inflammatory cardiomyopathy; triggers CMR for myocarditis LGE pattern (epicardial/mid-wall) and immunosuppression consideration</t>
  </si>
  <si>
    <t>SYMPTOMS / CLINICAL HISTORY — 10 pts</t>
  </si>
  <si>
    <t>Is there progressive dyspnea, orthopnea, exercise intolerance, or fluid retention (NYHA class II–IV)?</t>
  </si>
  <si>
    <t>Yes — heart failure symptoms drive functional classification; NYHA III/IV is a high-risk marker and guides device therapy (ICD, CRT, LVAD) and transplant evaluation</t>
  </si>
  <si>
    <t>Is there a history of recent viral illness (within 4–6 weeks) preceding onset, or documented SARS-CoV-2 infection (post-COVID cardiomyopathy)?</t>
  </si>
  <si>
    <t>Yes — viral myocarditis is the most common cause of new-onset DCM in children and young adults; post-COVID cardiomyopathy is an emerging etiology with partially reversible phenotype</t>
  </si>
  <si>
    <t>High confidence — DCM confirmed; initiate GDMT (ACEi/ARB/ARNI + beta-blocker + MRA + SGLT2i); genetic testing and family screening mandatory; assess for ICD (LVEF &lt;35%) or CRT-D (LVEF &lt;35% + LBBB); refer for transplant evaluation if refractory</t>
  </si>
  <si>
    <t>Moderate confidence — CMR indicated to confirm etiology, quantify EF, and assess fibrosis; troponin + inflammatory markers; genetic panel; rhythm monitoring (Holter); co-manage with pediatric heart failure specialist</t>
  </si>
  <si>
    <t>Low confidence — echo with speckle-tracking strain analysis; exclude secondary causes (thyroid, tachycardia-induced, toxic, alcohol, nutritional); rule out physiologic LV dilation (athlete's heart), HCM phenocopy, or storage disease; repeat echo in 3 months</t>
  </si>
  <si>
    <t>DCM Progression Framework — Pediatric Moonshot</t>
  </si>
  <si>
    <t>Dilated Cardiomyopathy  |  100-Point Adverse Prognostic Score  |  ACC/AHA 2022 Heart Failure Guidelines / ESC 2021 Heart Failure Guidelines / HFSA 2022  |  Progression Trajectory: Fast / Moderate / Slow</t>
  </si>
  <si>
    <t>LV SYSTOLIC FUNCTION AND STRUCTURAL REMODELING — 30 pts</t>
  </si>
  <si>
    <t>LVEF — Severity</t>
  </si>
  <si>
    <t>Is LVEF ≤35% on echo or cardiac MRI (severe systolic dysfunction)?</t>
  </si>
  <si>
    <t>Yes — LVEF ≤35% confirmed; threshold for ICD implantation (Class I, ≥3 months GDMT); highest heart failure mortality risk subgroup</t>
  </si>
  <si>
    <t>Is LV end-diastolic diameter &gt;65 mm (men) / &gt;60 mm (women), or Z-score &gt;3 in pediatric patients?</t>
  </si>
  <si>
    <t>Yes — severe LV dilation confirmed; associated with higher wall stress, functional MR, and adverse remodeling despite GDMT</t>
  </si>
  <si>
    <t>Functional Mitral Regurgitation</t>
  </si>
  <si>
    <t>Is there moderate-to-severe functional MR (vena contracta ≥4 mm or regurgitant fraction &gt;30%) from annular dilation?</t>
  </si>
  <si>
    <t>Yes — significant FMR confirmed; amplifies volume overload; worsens LA dilation and AF risk; MitraClip or surgical repair may be considered</t>
  </si>
  <si>
    <t>MYOCARDIAL FIBROSIS (CMR) — 20 pts</t>
  </si>
  <si>
    <t>Mid-wall LGE Pattern</t>
  </si>
  <si>
    <t>Is there mid-wall septal late gadolinium enhancement (LGE) on CMR indicating myocardial fibrosis?</t>
  </si>
  <si>
    <t>Yes — mid-wall LGE present; independent predictor of SCD, VT, and adverse outcomes in DCM; supports ICD implantation even with LVEF 36–45%</t>
  </si>
  <si>
    <t>Extent of LGE</t>
  </si>
  <si>
    <t>Does LGE involve ≥3 myocardial segments or &gt;10% of LV mass on CMR?</t>
  </si>
  <si>
    <t>Yes — extensive fibrosis burden; strongly associated with VT storm, SCD, and non-response to GDMT</t>
  </si>
  <si>
    <t>ARRHYTHMIA AND SCD RISK — 20 pts</t>
  </si>
  <si>
    <t>LMNA Pathogenic Variant</t>
  </si>
  <si>
    <t>Is there a confirmed pathogenic variant in LMNA (lamin A/C) on genetic testing?</t>
  </si>
  <si>
    <t>Yes — LMNA cardiomyopathy confirmed; highest SCD/VT risk among all DCM genotypes; ICD recommended when ≥2 risk factors present (NSVT, LVEF &lt;45%, male sex, non-missense mutation)</t>
  </si>
  <si>
    <t>NSVT / Ventricular Arrhythmia</t>
  </si>
  <si>
    <t>Is there documented NSVT (≥3 beats, ≥120 bpm) or sustained VT on Holter or event monitor?</t>
  </si>
  <si>
    <t>Yes — ventricular arrhythmia confirmed; major ICD indication in LVEF ≤35%; LMNA + NSVT combination carries especially high SCD risk</t>
  </si>
  <si>
    <t>Advanced Conduction Disease</t>
  </si>
  <si>
    <t>Is there LBBB (QRS ≥150 ms) or high-degree AV block (≥2nd degree) on ECG?</t>
  </si>
  <si>
    <t>Yes — LBBB ≥150 ms is the strongest CRT predictor; AV block in DCM suggests LMNA etiology; both indicate dyssynchrony and accelerated progression</t>
  </si>
  <si>
    <t>BIOMARKERS — 15 pts</t>
  </si>
  <si>
    <t>NT-proBNP / BNP Elevation</t>
  </si>
  <si>
    <t>Is NT-proBNP &gt;3000 pg/mL (or BNP &gt;400 pg/mL) despite ≥3 months of optimized GDMT?</t>
  </si>
  <si>
    <t>Yes — persistently elevated natriuretic peptide on GDMT; indicates refractory wall stress; associated with higher HF hospitalization and mortality; consider LVAD evaluation</t>
  </si>
  <si>
    <t>Persistently Elevated Troponin</t>
  </si>
  <si>
    <t>Is high-sensitivity troponin persistently elevated (above ULN on ≥2 measurements ≥2 weeks apart)?</t>
  </si>
  <si>
    <t>Yes — ongoing myocyte injury confirmed; suggests active inflammatory or infiltrative process; prompts CMR for myocarditis/sarcoidosis pattern; worse prognosis</t>
  </si>
  <si>
    <t>GENETICS AND HIGH-RISK ETIOLOGY — 10 pts</t>
  </si>
  <si>
    <t>High-Risk Genetic Variant</t>
  </si>
  <si>
    <t>Is there a pathogenic variant in TTN (truncating), SCN5A, RBM20, or PLN in addition to LMNA?</t>
  </si>
  <si>
    <t>Yes — high-risk DCM genotype confirmed; TTN truncating variants in ~20% of familial DCM; RBM20 and PLN associated with aggressive early-onset phenotype and high arrhythmia burden</t>
  </si>
  <si>
    <t>Syndromic / Neuromuscular Association</t>
  </si>
  <si>
    <t>Is there Duchenne/Becker muscular dystrophy, Barth syndrome, or Emery-Dreifuss MD as the underlying etiology?</t>
  </si>
  <si>
    <t>Yes — syndromic DCM confirmed; Duchenne DCM near-universal by age 18; Barth syndrome carries infant mortality risk; specialized multidisciplinary management required</t>
  </si>
  <si>
    <t>NYHA Functional Class</t>
  </si>
  <si>
    <t>Is the patient NYHA Class III or IV despite ≥3 months of optimized GDMT (ACEi/ARNi + beta-blocker + MRA + SGLT2i)?</t>
  </si>
  <si>
    <t>Yes — refractory heart failure symptoms on maximally tolerated GDMT; CRT-D, LVAD, or transplant evaluation indicated</t>
  </si>
  <si>
    <t>HF Hospitalization History</t>
  </si>
  <si>
    <t>Has the patient had ≥1 heart failure hospitalization in the past 12 months?</t>
  </si>
  <si>
    <t>Yes — prior HF hospitalization is the single strongest predictor of subsequent HF death; triggers advanced therapy referral pathway</t>
  </si>
  <si>
    <t>🔴 Fast Progression — Severe LV dysfunction + extensive fibrosis + high arrhythmia risk + refractory symptoms; ICD/CRT-D implantation, LVAD evaluation, and transplant listing consideration; urgent advanced HF referral</t>
  </si>
  <si>
    <t>🟡 Moderate Progression — Significant LV dysfunction or fibrosis with partial GDMT response; optimize GDMT (ARNi, SGLT2i, MRA); reassess ICD eligibility at 3–6 months; genetic testing and family screening if not completed</t>
  </si>
  <si>
    <t>🟢 Slow Progression — Mild-moderate dysfunction, no major fibrosis or arrhythmia burden, GDMT-responsive; serial echo every 6–12 months; continue and optimize medical therapy; favorable remodeling trajectory possible</t>
  </si>
  <si>
    <t>ACC/AHA 2022 Heart Failure Guidelines (Heidenreich et al.)  |  ESC 2021 HF Guidelines (McDonagh et al.)  |  HFSA 2022 Guidelines  |  Halliday et al. Lancet 2019 (LGE and outcomes in DCM)  |  Merlo et al. JACC 2014 (LMNA risk model)  |  Schultheiss et al. Nature Rev 2019 (DCM etiology)  |  Mann et al. NEJM 2020 (ARNI in DCM)</t>
  </si>
  <si>
    <t>Kawasaki Disease AI Agent</t>
  </si>
  <si>
    <t>Each domain question draws from the complete medical record. Points reflect diagnostic weight. Cost:  Small = existing record / clinical exam / standard labs  |  Medium = targeted lab panel or echo ($200-$1,500)  |  Large = advanced imaging or cath ($1,500-$5,000+)  |  Note: Kawasaki is a CLINICAL diagnosis - no single test confirms it. Signal is distributed across fever, exam findings, and labs.</t>
  </si>
  <si>
    <t>FEVER - 15 pts</t>
  </si>
  <si>
    <t>Fever</t>
  </si>
  <si>
    <t>Is there a documented fever &gt;=38.0 C (100.4 F) lasting &gt;=5 days that is unresponsive to antibiotics?</t>
  </si>
  <si>
    <t>Yes - fever &gt;=5 days is the required anchor criterion for classic Kawasaki diagnosis; antibiotic non-responsiveness rules out bacterial infection</t>
  </si>
  <si>
    <t>In incomplete Kawasaki, is there fever &gt;=5 days with only 2-3 classic features but elevated CRP/ESR and supportive echocardiographic or laboratory findings?</t>
  </si>
  <si>
    <t>Yes - incomplete Kawasaki accounts for ~20% of cases and is more common in infants &lt;6 months; carries equal coronary aneurysm risk</t>
  </si>
  <si>
    <t>CLASSIC CLINICAL FEATURES (5 criteria) - 25 pts</t>
  </si>
  <si>
    <t>Classic Features</t>
  </si>
  <si>
    <t>Is there bilateral non-exudative bulbar conjunctival injection (without discharge or corneal involvement)?</t>
  </si>
  <si>
    <t>Yes - present in ~90% of classic Kawasaki; bulbar pattern without discharge distinguishes from bacterial/viral conjunctivitis</t>
  </si>
  <si>
    <t>Is there oral mucous membrane changes: strawberry tongue, erythema/cracking of lips, or diffuse oropharyngeal erythema?</t>
  </si>
  <si>
    <t>Yes - present in ~90% of cases; strawberry tongue is most specific oral finding</t>
  </si>
  <si>
    <t>Is there a polymorphous non-vesicular skin rash (morbilliform, urticarial, or erythema multiforme-like)?</t>
  </si>
  <si>
    <t>Yes - present in ~80% of cases; perineal accentuation is characteristic and often early</t>
  </si>
  <si>
    <t>Is there peripheral extremity changes: erythema or edema of hands and feet (acute phase) or periungual desquamation (convalescent phase, days 10-21)?</t>
  </si>
  <si>
    <t>Yes - periungual peeling in convalescent phase is highly characteristic; acute edema/erythema in first week</t>
  </si>
  <si>
    <t>Is there unilateral cervical lymphadenopathy &gt;=1.5 cm, typically anterior cervical?</t>
  </si>
  <si>
    <t>Yes - least common classic feature (~50-75%); often the presenting complaint prompting evaluation</t>
  </si>
  <si>
    <t>ECHOCARDIOGRAPHIC FINDINGS - 20 pts</t>
  </si>
  <si>
    <t>Echo - Coronary</t>
  </si>
  <si>
    <t>Are there coronary artery aneurysms or dilation on echocardiography (Z-score &gt;=2.5 in LAD or RCA, or absolute diameter &gt;4 mm)?</t>
  </si>
  <si>
    <t>Yes - coronary involvement confirms diagnosis; Z-score &gt;=2.5 = dilation, &gt;=10 = giant aneurysm with highest thrombosis risk</t>
  </si>
  <si>
    <t>Is there perivascular coronary brightness or lack of tapering of coronary arteries on echo (early or incomplete Kawasaki sign)?</t>
  </si>
  <si>
    <t>Yes - perivascular brightness may precede measurable dilation; Z-score &gt;=2.0 is supportive in incomplete Kawasaki</t>
  </si>
  <si>
    <t>Echo - Cardiac</t>
  </si>
  <si>
    <t>Is there pericardial effusion, mitral regurgitation, or reduced LV systolic function on echo during acute phase?</t>
  </si>
  <si>
    <t>Yes - myocarditis and pericarditis occur in ~25-50% of Kawasaki; MR from papillary muscle inflammation</t>
  </si>
  <si>
    <t>LABORATORY FINDINGS - 20 pts</t>
  </si>
  <si>
    <t>Labs - Inflammatory</t>
  </si>
  <si>
    <t>Is the ESR &gt;=40 mm/hr and/or CRP &gt;=3.0 mg/dL during the acute febrile phase?</t>
  </si>
  <si>
    <t>Yes - markedly elevated inflammatory markers are present in virtually all active Kawasaki; ESR/CRP are required supportive criteria in incomplete Kawasaki algorithm</t>
  </si>
  <si>
    <t>Is there leukocytosis (WBC &gt;=15,000/mm3) with neutrophil predominance on CBC during acute phase?</t>
  </si>
  <si>
    <t>Yes - neutrophilic leukocytosis reflects systemic vasculitic inflammation</t>
  </si>
  <si>
    <t>Labs - Supportive</t>
  </si>
  <si>
    <t>Is there thrombocytosis (platelets &gt;=450,000/mm3) in the subacute phase (days 7-21)?</t>
  </si>
  <si>
    <t>Yes - thrombocytosis peaks at 2-3 weeks and correlates with coronary aneurysm risk; giant thrombocytosis (&gt;1M) is a high-risk marker</t>
  </si>
  <si>
    <t>Is there sterile pyuria (&gt;=10 WBC/hpf on urinalysis) or mildly elevated ALT on metabolic panel?</t>
  </si>
  <si>
    <t>Yes - sterile pyuria in ~80% of Kawasaki; urethral inflammation not UTI; elevated ALT in ~40%; both support diagnosis in incomplete cases</t>
  </si>
  <si>
    <t>EPIDEMIOLOGY / DEMOGRAPHIC RISK - 10 pts</t>
  </si>
  <si>
    <t>Demographics</t>
  </si>
  <si>
    <t>Is the patient aged 6 months to 5 years? (Peak incidence 1-2 years; rare under 3 months and over 8 years)</t>
  </si>
  <si>
    <t>Yes - 85% of Kawasaki occurs under age 5; very young infants (&lt;6 months) have highest aneurysm risk and most atypical presentations</t>
  </si>
  <si>
    <t>Is the patient of East Asian ancestry (Japanese, Korean, Chinese)? (Incidence 10-30x higher than in Caucasian children)</t>
  </si>
  <si>
    <t>Yes - highest absolute risk population; also higher risk of giant aneurysms and IVIG resistance</t>
  </si>
  <si>
    <t>Does the presentation occur in winter or spring months? (Seasonal clustering suggests infectious or environmental trigger)</t>
  </si>
  <si>
    <t>Yes - seasonal peak January-March in Northern Hemisphere</t>
  </si>
  <si>
    <t>IVIG RESPONSE / TREATMENT COURSE - 10 pts</t>
  </si>
  <si>
    <t>Treatment Response</t>
  </si>
  <si>
    <t>Was there defervescence (fever resolution) within 36-48 hours of high-dose IVIG (2 g/kg) administration?</t>
  </si>
  <si>
    <t>Yes - prompt IVIG response is strongly supportive of Kawasaki; ~80% respond to first dose; non-response (IVIG resistance) is itself a high-risk marker</t>
  </si>
  <si>
    <t>Was IVIG administered within the first 10 days of fever, and did repeat echo at 2 weeks and 6-8 weeks show stable or regressing coronary dimensions?</t>
  </si>
  <si>
    <t>Yes - coronary outcomes are the measure of treatment success; aneurysm regression within 6-8 weeks occurs in ~50% of small-medium aneurysms</t>
  </si>
  <si>
    <t>High confidence — Kawasaki confirmed or highly probable; administer IVIG 2 g/kg + aspirin immediately; obtain baseline echo within 24–48 hours; repeat echo at 2 weeks and 6–8 weeks</t>
  </si>
  <si>
    <t>Moderate confidence — Incomplete Kawasaki likely; apply AHA incomplete Kawasaki algorithm; echocardiography indicated urgently; low threshold for empiric IVIG if echo shows coronary changes</t>
  </si>
  <si>
    <t>Low confidence — Kawasaki possible but alternative diagnoses should be actively pursued (viral syndrome, bacterial adenitis, drug reaction, toxic shock, adenovirus, MIS-C); complete inflammatory workup; fever diary; cardiology consultation; do not delay if fever persists</t>
  </si>
  <si>
    <t>CLINICAL NOTE: Multisystem Inflammatory Syndrome in Children (MIS-C / PIMS-TS) — a post-COVID-19 inflammatory syndrome — shares significant overlap with Kawasaki (fever, conjunctivitis, rash, elevated CRP/ESR). Key distinguishing features: MIS-C typically affects older children (median age 8-9 years vs. &lt;5 for Kawasaki), presents with more severe shock and cardiac dysfunction, has markedly elevated troponin and BNP, and occurs 2-6 weeks after SARS-CoV-2 infection. Positive SARS-CoV-2 serology or antigen should trigger MIS-C evaluation pathway in parallel.</t>
  </si>
  <si>
    <t>Kawasaki Disease Progression Framework — Pediatric Moonshot</t>
  </si>
  <si>
    <t>Kawasaki Disease  |  100-Point Adverse Prognostic Score  |  AHA 2017 KD Guidelines / JCS 2020 KD Guidelines / AHA 2022 CAA Risk Classification  |  Long-term Coronary Artery Aneurysm and Ischemia Risk  |  Progression Trajectory: Fast / Moderate / Slow</t>
  </si>
  <si>
    <t>CORONARY ARTERY ANEURYSM (CAA) SEVERITY — 35 pts</t>
  </si>
  <si>
    <t>Giant Aneurysm</t>
  </si>
  <si>
    <t>Is there a giant coronary artery aneurysm (Z-score ≥10 or absolute diameter ≥8 mm) in LAD or RCA?</t>
  </si>
  <si>
    <t>Yes — giant CAA confirmed (AHA Class V); highest thrombosis, stenosis, and MI risk; dual antiplatelet + anticoagulation mandatory; interventional cardiology and cardiac surgery on team</t>
  </si>
  <si>
    <t>Large Aneurysm</t>
  </si>
  <si>
    <t>Is there a large coronary artery aneurysm (Z-score 7–9.9 or diameter 6–7.9 mm) in LAD or RCA?</t>
  </si>
  <si>
    <t>Yes — large CAA confirmed (AHA Class IV); high thrombosis risk; anticoagulation + antiplatelet therapy; stress testing and coronary imaging at 6–12 months</t>
  </si>
  <si>
    <t>Small-Medium Aneurysm</t>
  </si>
  <si>
    <t>Is there a small (Z-score 2.5–4.9) or medium (Z-score 5–6.9) coronary artery aneurysm on echo or CTA?</t>
  </si>
  <si>
    <t>Yes — small-medium CAA present (AHA Class II–III); antiplatelet therapy; serial echo every 6–12 months; majority of small aneurysms regress within 1–2 years</t>
  </si>
  <si>
    <t>CORONARY STENOSIS AND MYOCARDIAL ISCHEMIA — 25 pts</t>
  </si>
  <si>
    <t>Coronary Stenosis on CTA / Angiography</t>
  </si>
  <si>
    <t>Does coronary CTA or invasive angiography show ≥50% luminal stenosis in LAD, RCA, or LCx?</t>
  </si>
  <si>
    <t>Yes — obstructive coronary disease confirmed; myocardial ischemia risk; stress perfusion imaging required; revascularization (PCI or CABG) may be indicated</t>
  </si>
  <si>
    <t>Myocardial Perfusion Defect</t>
  </si>
  <si>
    <t>Does stress MRI, stress echo, or nuclear perfusion imaging show a fixed or reversible perfusion defect?</t>
  </si>
  <si>
    <t>Yes — myocardial ischemia or infarct confirmed; revascularization evaluation required; long-term anticoagulation and cardioprotective therapy intensification</t>
  </si>
  <si>
    <t>IVIG RESISTANCE AND ACUTE DISEASE SEVERITY — 20 pts</t>
  </si>
  <si>
    <t>IVIG Resistance</t>
  </si>
  <si>
    <t>Did fever persist or recur ≥36 hours after completion of the first IVIG dose (2 g/kg)?</t>
  </si>
  <si>
    <t>Yes — IVIG resistance confirmed; present in ~10–20% of patients; independently associated with higher CAA risk; second IVIG dose, infliximab, or corticosteroids required</t>
  </si>
  <si>
    <t>Delayed or No Treatment</t>
  </si>
  <si>
    <t>Was IVIG administered after day 10 of fever, or was diagnosis and treatment significantly delayed?</t>
  </si>
  <si>
    <t>Yes — late treatment confirmed; CAA formation risk doubles when IVIG given after day 10; coronary surveillance intensification required</t>
  </si>
  <si>
    <t>LV FUNCTION AND MYOCARDIAL INVOLVEMENT — 10 pts</t>
  </si>
  <si>
    <t>Is LVEF &lt;50% on echo during acute phase or at follow-up (myocarditis-related dysfunction)?</t>
  </si>
  <si>
    <t>Yes — LV systolic dysfunction from acute myocarditis or ischemic injury; heart failure management + close follow-up; persistent dysfunction at 6 weeks warrants CMR</t>
  </si>
  <si>
    <t>Pericardial Effusion / Myocarditis</t>
  </si>
  <si>
    <t>Is there a moderate-to-large pericardial effusion or clinical myocarditis (troponin elevation + LV dysfunction) on presentation?</t>
  </si>
  <si>
    <t>Yes — significant myopericardial involvement confirmed; associated with more severe inflammatory burden and higher CAA risk; corticosteroid adjunct therapy considered</t>
  </si>
  <si>
    <t>THROMBOSIS AND SYSTEMIC RISK FACTORS — 5 pts</t>
  </si>
  <si>
    <t>Extreme Thrombocytosis</t>
  </si>
  <si>
    <t>Is platelet count &gt;1,000,000/mm³ (extreme thrombocytosis) in the subacute phase (days 7–21)?</t>
  </si>
  <si>
    <t>Yes — extreme thrombocytosis confirmed; highest platelet-mediated thrombosis risk within aneurysms; antiplatelet therapy intensification; avoid aspirin discontinuation</t>
  </si>
  <si>
    <t>Age &lt;6 Months at Diagnosis</t>
  </si>
  <si>
    <t>Was the patient younger than 6 months at time of Kawasaki diagnosis?</t>
  </si>
  <si>
    <t>Yes — infants &lt;6 months have highest CAA risk, most atypical presentation, and highest IVIG resistance rates; heightened surveillance protocol required</t>
  </si>
  <si>
    <t>RECURRENCE AND LONG-TERM FOLLOW-UP STATUS — 5 pts</t>
  </si>
  <si>
    <t>Recurrent Kawasaki Disease</t>
  </si>
  <si>
    <t>Has the patient had a second confirmed episode of Kawasaki disease?</t>
  </si>
  <si>
    <t>Yes — recurrent KD confirmed; ~1–3% recurrence rate; each episode carries independent CAA risk; lifelong cardiology follow-up mandatory</t>
  </si>
  <si>
    <t>Lost to Coronary Follow-up</t>
  </si>
  <si>
    <t>Has the patient been lost to cardiology follow-up for &gt;2 years with known CAA history?</t>
  </si>
  <si>
    <t>Yes — follow-up gap with known aneurysm history; coronary CTA or invasive angiography required to establish current anatomy; risk of undetected stenosis or thrombosis</t>
  </si>
  <si>
    <t>PATIENT'S ACTUAL ADVERSE SCORE  (clinician enters sum here →)</t>
  </si>
  <si>
    <t>🔴 Fast Progression — Giant or large CAA + coronary stenosis/ischemia + IVIG resistance; dual antiplatelet + anticoagulation; urgent coronary CTA or invasive angiography; interventional cardiology and cardiac surgery co-management; lifelong specialist follow-up</t>
  </si>
  <si>
    <t>🟡 Moderate Progression — Small-medium CAA or IVIG resistance without stenosis; antiplatelet therapy; echo every 6–12 months; stress perfusion imaging at 2–3 years; cardiology follow-up through adolescence and into adulthood</t>
  </si>
  <si>
    <t>🟢 Slow Progression — No CAA or resolved small aneurysm; normal coronary anatomy confirmed; low long-term ischemia risk; low-dose aspirin for 6–8 weeks post-illness; routine pediatric follow-up with one confirmatory echo at 6–8 weeks</t>
  </si>
  <si>
    <t>AHA 2017 Kawasaki Disease Guidelines (McCrindle et al.)  |  JCS 2020 KD Guidelines  |  AHA 2022 CAA Risk Classification (Portman et al.)  |  Newburger et al. Circulation 2004  |  Kobayashi et al. Pediatrics 2006 (IVIG resistance score)  |  Daniels et al. JACC 2012 (long-term coronary outcomes)  |  Salo et al. Pediatrics 2012 (CAA regression)</t>
  </si>
  <si>
    <t>Pulmonary Arterial Hypertension (PAH)  AI Agent</t>
  </si>
  <si>
    <t>ECHOCARDIOGRAPHIC / IMAGING — 30 pts</t>
  </si>
  <si>
    <t>Is RV systolic pressure (RVSP) estimated &gt;35 mmHg via peak TR jet velocity on Doppler (using Bernoulli equation)?</t>
  </si>
  <si>
    <t>Yes — RVSP &gt;35 mmHg is the primary echo screening criterion for pulmonary hypertension; velocity &gt;3.4 m/s = intermediate-high probability per ESC/ERS guidelines</t>
  </si>
  <si>
    <t>Is the right ventricle dilated (RV:LV end-diastolic area ratio &gt;1.0 on apical 4-chamber view)?</t>
  </si>
  <si>
    <t>Yes — RV dilation reflects chronic pressure/volume overload from elevated PVR; RV:LV ratio &gt;1.0 is a key severity marker</t>
  </si>
  <si>
    <t>Is there interventricular septal flattening or D-shaped LV on parasternal short axis echo?</t>
  </si>
  <si>
    <t>Yes — septal flattening with eccentricity index &gt;1.0 indicates RV pressure or volume overload exceeding LV; D-shaped LV is a hallmark of significant PAH</t>
  </si>
  <si>
    <t>Is the main pulmonary artery diameter ≥25 mm on echo or CT (dilated PA)?</t>
  </si>
  <si>
    <t>Yes — dilated PA is a marker of chronically elevated PA pressures; PA:aorta ratio &gt;1.0 is an independent predictor of PAH</t>
  </si>
  <si>
    <t>RIGHT HEART CATHETERIZATION — 25 pts</t>
  </si>
  <si>
    <t>RHC</t>
  </si>
  <si>
    <t>Does right heart catheterization confirm mean pulmonary artery pressure (mPAP) ≥20 mmHg at rest?</t>
  </si>
  <si>
    <t>Yes — mPAP ≥20 mmHg is the 2022 ESC/ERS updated hemodynamic threshold for pulmonary hypertension; replaces the older ≥25 mmHg criterion</t>
  </si>
  <si>
    <t>Is pulmonary vascular resistance (PVR) ≥2 Wood units (WU) on RHC with normal PAWP (≤15 mmHg)?</t>
  </si>
  <si>
    <t>Yes — PVR ≥2 WU + PAWP ≤15 mmHg confirms pre-capillary PAH and distinguishes it from left heart disease (Group 2 PH)</t>
  </si>
  <si>
    <t>Was vasoreactivity testing performed (inhaled NO or IV adenosine) and did the patient respond (mPAP decrease ≥10 mmHg to ≤40 mmHg)?</t>
  </si>
  <si>
    <t>Yes — acute vasoreactivity response identifies the ~10% of idiopathic PAH patients who may respond to high-dose calcium channel blockers; critical for therapy selection</t>
  </si>
  <si>
    <t>LABORATORY / BIOMARKERS — 15 pts</t>
  </si>
  <si>
    <t>Is NT-proBNP &gt;300 pg/mL (or BNP &gt;50 pg/mL) elevated at diagnosis or follow-up?</t>
  </si>
  <si>
    <t>Yes — NT-proBNP reflects RV wall stress; &gt;300 pg/mL predicts worse outcomes and is a component of ESC/ERS risk stratification scoring</t>
  </si>
  <si>
    <t>Is uric acid elevated (&gt;7 mg/dL) or is there evidence of systemic venous congestion (elevated creatinine, hepatic congestion on labs)?</t>
  </si>
  <si>
    <t>Yes — elevated uric acid reflects tissue hypoxia and low cardiac output; hepatic/renal dysfunction indicates advanced RV failure and high-risk profile</t>
  </si>
  <si>
    <t>Are connective tissue disease antibodies (ANA, anti-Scl-70, anti-centromere, anti-SSA/SSB, anti-dsDNA) present on serologic workup?</t>
  </si>
  <si>
    <t>Yes — CTD-PAH (especially scleroderma-associated) is the most common associated form; serologic screening is mandatory at PAH diagnosis</t>
  </si>
  <si>
    <t>GENETICS — 10 pts</t>
  </si>
  <si>
    <t>Has genetic testing identified a pathogenic or likely pathogenic variant in BMPR2 (most common), ALK1, ENG, SMAD9, CAV1, KCNK3, or ATP13A3?</t>
  </si>
  <si>
    <t>Yes — BMPR2 mutations account for ~70% of heritable PAH and ~15% of idiopathic PAH; confirms heritable PAH (HPAH) and enables cascade genetic screening of family members</t>
  </si>
  <si>
    <t>Is there a first-degree relative with confirmed PAH or known BMPR2/ALK1 pathogenic variant?</t>
  </si>
  <si>
    <t>Yes — family history of PAH carries ~10–20% lifetime penetrance for BMPR2 carriers; triggers mandatory surveillance echocardiography in carriers</t>
  </si>
  <si>
    <t>FUNCTIONAL STATUS / SYMPTOMS — 12 pts</t>
  </si>
  <si>
    <t>Functional Status</t>
  </si>
  <si>
    <t>Is 6-minute walk distance (6MWD) &lt;440 meters at baseline or declining on serial testing?</t>
  </si>
  <si>
    <t>Yes — 6MWD &lt;440 m is an intermediate-risk marker per ESC/ERS PAH risk stratification; decline of &gt;15% between visits predicts clinical worsening</t>
  </si>
  <si>
    <t>Is the patient in WHO functional class III or IV (symptomatic with mild exertion or at rest)?</t>
  </si>
  <si>
    <t>Yes — WHO FC III/IV is an intermediate-to-high risk marker; FC II at diagnosis indicates earlier disease; FC guides treatment escalation decisions</t>
  </si>
  <si>
    <t>Is there a history of syncope or pre-syncope with exertion?</t>
  </si>
  <si>
    <t>Yes — exertional syncope in PAH reflects inability to augment cardiac output; associated with high mortality risk and triggers urgent therapy escalation</t>
  </si>
  <si>
    <t>TREATMENT RESPONSE MARKERS — 8 pts</t>
  </si>
  <si>
    <t>Is the patient on combination PAH-targeted therapy (PDE5 inhibitor + ERA ± prostacyclin analog) with a low-risk profile at follow-up?</t>
  </si>
  <si>
    <t>Yes — achieving low-risk status (NT-proBNP &lt;300 pg/mL, 6MWD &gt;440 m, WHO FC I-II) on combination therapy is the treat-to-target goal per ESC/ERS 2022 guidelines</t>
  </si>
  <si>
    <t>Has sotatercept (Winrevair) been initiated for inadequate response to background oral therapy, with improvement in 6MWD or PVR?</t>
  </si>
  <si>
    <t>Yes — sotatercept (FDA approved March 2024) is the first activin signaling inhibitor for PAH; STELLAR trial showed 40.8-meter 6MWD improvement over placebo on background therapy</t>
  </si>
  <si>
    <t>High confidence — PAH confirmed or highly probable; initiate combination PAH therapy (ERA + PDE5i); refer to PAH center of excellence; risk stratify with ESC/ERS risk score; consider sotatercept for insufficient response</t>
  </si>
  <si>
    <t>Moderate confidence — RHC mandatory to confirm hemodynamics and PVR; complete PAH association workup (CTD serology, HIV, porto-pulmonary, genetic testing); echocardiographic follow-up in 3 months</t>
  </si>
  <si>
    <t>Low confidence — insufficient evidence for PAH; investigate secondary causes (sleep apnea, CTEPH, LHD); consider exercise echo challenge if exertional dyspnea present; reassess with complete cardiopulmonary workup if symptoms progress</t>
  </si>
  <si>
    <t>PAH Progression Framework — Pediatric Moonshot</t>
  </si>
  <si>
    <t>Pulmonary Arterial Hypertension  |  100-Point Adverse Prognostic Score  |  ESC/ERS 2022 PH Guidelines / AHA/ATS 2022 PAH Scientific Statement / REVEAL 2.0 Risk Score  |  Progression Trajectory: Fast / Moderate / Slow</t>
  </si>
  <si>
    <t>RV FUNCTION AND HEMODYNAMICS — 30 pts</t>
  </si>
  <si>
    <t>RV Failure / Dysfunction</t>
  </si>
  <si>
    <t>Is there RV systolic dysfunction (TAPSE &lt;18 mm or RV S' &lt;9.5 cm/s on echo) or clinical right heart failure (elevated JVP, ascites, peripheral edema)?</t>
  </si>
  <si>
    <t>Yes — RV failure confirmed; the single strongest predictor of mortality in PAH; parenteral prostacyclin therapy (epoprostenol or treprostinil) required; lung transplant evaluation</t>
  </si>
  <si>
    <t>Elevated PVR on RHC</t>
  </si>
  <si>
    <t>Is pulmonary vascular resistance (PVR) ≥5 Wood units on right heart catheterization?</t>
  </si>
  <si>
    <t>Yes — severely elevated PVR confirmed; high-risk hemodynamic profile per ESC/ERS; associated with poor response to oral therapy alone; combination therapy + prostacyclin pathway agent required</t>
  </si>
  <si>
    <t>Low Cardiac Index</t>
  </si>
  <si>
    <t>Is cardiac index &lt;2.0 L/min/m² on RHC or estimated severely reduced by echo (IVC dilation, poor CO)?</t>
  </si>
  <si>
    <t>Yes — critically reduced cardiac output confirmed; high-risk marker per REVEAL 2.0; IV/SC prostacyclin escalation required; urgent transplant evaluation if refractory</t>
  </si>
  <si>
    <t>FUNCTIONAL STATUS AND EXERCISE CAPACITY — 25 pts</t>
  </si>
  <si>
    <t>WHO Functional Class</t>
  </si>
  <si>
    <t>Is the patient in WHO Functional Class III or IV despite PAH-targeted therapy?</t>
  </si>
  <si>
    <t>Yes — WHO FC III/IV on therapy confirmed; high-risk marker per ESC/ERS and REVEAL 2.0; therapy escalation to triple combination or prostacyclin analog mandatory</t>
  </si>
  <si>
    <t>6-Minute Walk Distance</t>
  </si>
  <si>
    <t>Is 6MWD &lt;165 meters (high risk) or &lt;440 meters (intermediate risk) on serial testing, or declining &gt;15% between visits?</t>
  </si>
  <si>
    <t>Yes — significantly reduced or declining 6MWD confirmed; strong independent predictor of mortality; goal is 6MWD &gt;440 m and stable/improving trajectory on therapy</t>
  </si>
  <si>
    <t>Exertional Syncope</t>
  </si>
  <si>
    <t>Is there a history of syncope or pre-syncope with exertion or at rest?</t>
  </si>
  <si>
    <t>Yes — exertional syncope confirmed; reflects critically reduced cardiac output reserve; high-risk classification; immediate therapy escalation and hospitalization consideration</t>
  </si>
  <si>
    <t>BIOMARKERS — 20 pts</t>
  </si>
  <si>
    <t>Is NT-proBNP &gt;1100 pg/mL (high risk) or &gt;300 pg/mL (intermediate risk) on therapy, or rising on serial measurement?</t>
  </si>
  <si>
    <t>Yes — elevated NT-proBNP on therapy confirmed; ESC/ERS high-risk threshold &gt;1100 pg/mL; rising BNP/NT-proBNP despite therapy is an urgent indicator for escalation</t>
  </si>
  <si>
    <t>Uric Acid / End-Organ Dysfunction</t>
  </si>
  <si>
    <t>Is uric acid &gt;7 mg/dL, creatinine rising, or are there signs of hepatic congestion (elevated bilirubin, ascites) on labs?</t>
  </si>
  <si>
    <t>Yes — end-organ dysfunction from chronic low cardiac output confirmed; indicates advanced RV failure and systemic venous hypertension; high-risk per REVEAL 2.0</t>
  </si>
  <si>
    <t>ECHOCARDIOGRAPHIC SEVERITY MARKERS — 15 pts</t>
  </si>
  <si>
    <t>RV Dilation and D-Shaped LV</t>
  </si>
  <si>
    <t>Is RV:LV end-diastolic area ratio &gt;1.0, or is there persistent D-shaped LV (eccentricity index &gt;1.1) on echo?</t>
  </si>
  <si>
    <t>Yes — severe RV dilation with LV compression confirmed; indicates markedly elevated RV afterload; associated with rapid clinical deterioration if untreated</t>
  </si>
  <si>
    <t>Pericardial Effusion</t>
  </si>
  <si>
    <t>Is there any pericardial effusion (even small) on echocardiography?</t>
  </si>
  <si>
    <t>Yes — pericardial effusion in PAH confirmed; present in ~28% of PAH patients; strong independent predictor of mortality; high-risk classification regardless of size</t>
  </si>
  <si>
    <t>ETIOLOGY AND GENETIC RISK — 7 pts</t>
  </si>
  <si>
    <t>BMPR2 Pathogenic Variant</t>
  </si>
  <si>
    <t>Is there a confirmed pathogenic variant in BMPR2, ALK1, ENG, SMAD9, CAV1, or KCNK3 on genetic testing?</t>
  </si>
  <si>
    <t>Yes — heritable PAH (HPAH) confirmed; BMPR2 variants associated with younger onset, worse hemodynamics, lower vasoreactivity response rate, and higher mortality than idiopathic PAH</t>
  </si>
  <si>
    <t>High-Risk Associated Condition</t>
  </si>
  <si>
    <t>Is PAH associated with systemic sclerosis (SSc-PAH), congenital heart disease (Eisenmenger), or portal hypertension?</t>
  </si>
  <si>
    <t>Yes — high-risk PAH association confirmed; SSc-PAH has worst prognosis among CTD-PAH subtypes; Eisenmenger requires specialized management; portopulmonary PAH limits transplant eligibility</t>
  </si>
  <si>
    <t>TREATMENT RESPONSE — 3 pts</t>
  </si>
  <si>
    <t>Failure to Achieve Low-Risk Status</t>
  </si>
  <si>
    <t>Has the patient failed to achieve low-risk status (NT-proBNP &lt;300 pg/mL, 6MWD &gt;440 m, WHO FC I–II) after ≥3 months of optimized combination therapy?</t>
  </si>
  <si>
    <t>Yes — failure to reach treatment goals confirmed; treat-to-target strategy requires escalation; sotatercept (Winrevair) consideration; lung transplant referral if triple therapy fails</t>
  </si>
  <si>
    <t>🔴 Fast Progression — RV failure + severely elevated PVR + WHO FC III–IV + rising BNP on therapy; IV/SC prostacyclin (epoprostenol or treprostinil) escalation; urgent lung transplant evaluation; PAH center inpatient management</t>
  </si>
  <si>
    <t>🟡 Moderate Progression — Intermediate hemodynamics or biomarker elevation with partial treatment response; optimize to triple combination therapy (ERA + PDE5i + prostacyclin pathway); consider sotatercept; PAH clinic every 3–6 months</t>
  </si>
  <si>
    <t>🟢 Slow Progression — Low-risk profile achieved on therapy (NT-proBNP &lt;300, 6MWD &gt;440 m, WHO FC I–II); stable RV function; maintain optimized oral combination therapy; PAH specialist follow-up every 6–12 months</t>
  </si>
  <si>
    <t>ESC/ERS 2022 Pulmonary Hypertension Guidelines (Humbert et al.)  |  AHA/ATS 2022 PAH Scientific Statement  |  REVEAL 2.0 Risk Score (Benza et al. 2019)  |  STELLAR Trial: sotatercept in PAH (Hoeper et al. NEJM 2023)  |  Sitbon et al. JACC 2016 (combination therapy targets)  |  Galiè et al. NEJM 2015 (AMBITION trial)  |  Barst et al. NEJM 1996 (epoprostenol landmark)</t>
  </si>
  <si>
    <t>Long QT Syndrome (LQTS)  AI Agent</t>
  </si>
  <si>
    <t>ECG FINDINGS — 40 pts</t>
  </si>
  <si>
    <t xml:space="preserve">Is QTc ≥480 ms (females) or ≥460 ms (males) on resting 12-lead ECG (Bazett correction; average 3–5 beats)? </t>
  </si>
  <si>
    <t>Yes — QTc ≥480 ms confers high diagnostic probability (Schwartz score ≥3.5 = LQTS); QTc ≥500 ms carries &gt;10-fold SCD risk and is a Class I ICD indication in symptomatic patients</t>
  </si>
  <si>
    <t>Is QTc 460–479 ms (females) or 440–459 ms (males) on resting ECG with other supporting features?</t>
  </si>
  <si>
    <t>Yes — borderline QTc combined with T-wave morphology abnormality, syncope history, or family history raises Schwartz score to probable LQTS range; warrants exercise test and genetic testing</t>
  </si>
  <si>
    <t>Is there abnormal T-wave morphology: broad-based T waves (LQT1), late-onset bifid T waves (LQT2), or small biphasic/late T waves with prominent U waves (LQT3)?</t>
  </si>
  <si>
    <t>Yes — T-wave morphology is genotype-specific: LQT1 = broad smooth T wave (KCNQ1); LQT2 = bifid/notched T (KCNH2); LQT3 = small late T wave + long isoelectric segment (SCN5A). Aids genotype prediction before genetic results</t>
  </si>
  <si>
    <t>Is there documented torsades de pointes (TdP) or polymorphic VT on telemetry, Holter, or event monitor, especially with QT prolongation?</t>
  </si>
  <si>
    <t>Yes — documented TdP confirms malignant arrhythmia and is the direct mechanism of syncope/SCA in LQTS; establishes high-risk phenotype requiring ICD + beta-blocker</t>
  </si>
  <si>
    <t>GENETICS — 25 pts</t>
  </si>
  <si>
    <t>Has genetic testing identified a pathogenic or likely pathogenic variant in KCNQ1 (LQT1, ~35%), KCNH2 (LQT2, ~30%), or SCN5A (LQT3, ~10%)?</t>
  </si>
  <si>
    <t>Yes — LQT1/2/3 account for ~75% of genotype-positive LQTS; pathogenic KCNQ1 or KCNH2 variant establishes genotype-specific management (LQT1: beta-blocker highly protective; LQT2: avoid QT-prolonging drugs strictly; LQT3: consider mexiletine or ranolazine)</t>
  </si>
  <si>
    <t>Has genetic testing identified a rarer LQTS gene variant: KCNE1 (LQT5), KCNE2 (LQT6), KCNJ2 (LQT7/Andersen-Tawil), CACNA1C (LQT8/Timothy syndrome), or others?</t>
  </si>
  <si>
    <t>Yes — Timothy syndrome (LQT8/CACNA1C) is rare but severe with ASD/VSD, autism, and syndactyly; Andersen-Tawil (LQT7/KCNJ2) has distinctive facial features; these diagnoses have strong gene–phenotype correlations requiring specialist management</t>
  </si>
  <si>
    <t>Is there a first-degree relative with confirmed LQTS or known pathogenic LQTS gene variant?</t>
  </si>
  <si>
    <t>Yes — LQTS is autosomal dominant; ~50% penetrance for most variants; cascade ECG and genetic screening of all first-degree relatives is mandatory</t>
  </si>
  <si>
    <t>SYMPTOMS / SCD HISTORY — 15 pts</t>
  </si>
  <si>
    <t>Is there a history of unexplained syncope, especially: exercise-related (LQT1), auditory-trigger/arousal-related (LQT2), or during sleep/rest (LQT3)?</t>
  </si>
  <si>
    <t>Yes — syncope in LQTS represents aborted TdP; genotype-specific triggers: LQT1 = swimming/exercise; LQT2 = sudden noise (alarm, doorbell), emotional stress; LQT3 = sleep. Syncope is a major SCD risk factor</t>
  </si>
  <si>
    <t>Is there a family history of unexplained sudden cardiac death at age &lt;40 years or unexplained drowning in a first- or second-degree relative?</t>
  </si>
  <si>
    <t>Yes — unexplained SCD &lt;40 years or drowning in family raises suspicion for LQTS; mandatory ECG screening of all family members; unexplained drowning should trigger genetic autopsy</t>
  </si>
  <si>
    <t>Is there a history of unexplained neonatal seizures, or an unexplained SIDS death in the family?</t>
  </si>
  <si>
    <t>Yes — neonatal LQTS (especially LQT3) may present with 2:1 AV block or bradycardia-related seizures; SIDS deaths may represent lethal arrhythmia in LQTS-affected infants; triggers family screening</t>
  </si>
  <si>
    <t>PROVOCATION / EXERCISE TESTING — 10 pts</t>
  </si>
  <si>
    <t>Exercise Testing</t>
  </si>
  <si>
    <t>Does exercise stress testing show QTc ≥470 ms at 4-minute recovery (failure to shorten QT with increased heart rate)?</t>
  </si>
  <si>
    <t>Yes — paradoxical QT prolongation during recovery (≥470 ms at 4 min) is a highly specific marker for LQT1 (KCNQ1 loss-of-function); QT shortening impairment during peak exercise supports LQT1/2 diagnoses</t>
  </si>
  <si>
    <t>Does epinephrine QT stress test provoke QTc prolongation or T-wave morphology change (particularly useful for LQT1)?</t>
  </si>
  <si>
    <t>Yes — epinephrine infusion (Joel-Tanel protocol) unmasks latent LQT1 in borderline cases; specific for KCNQ1 dysfunction; used when resting ECG is borderline and genetic testing is pending or uninformative</t>
  </si>
  <si>
    <t>SCHWARTZ SCORE / CLINICAL CRITERIA — 10 pts</t>
  </si>
  <si>
    <t>Clinical Scoring</t>
  </si>
  <si>
    <t>Does the patient have a Schwartz score ≥3.5 (high probability of LQTS: QTc ≥480 ms + syncope + family history combination)?</t>
  </si>
  <si>
    <t>Yes — Schwartz score ≥3.5 = high probability LQTS; 2.0–3.0 = intermediate; &lt;1.0 = low. Basis of pre-genetic-era diagnosis; still used to guide genetic testing prioritization and clinical decision-making</t>
  </si>
  <si>
    <t>Is there congenital sensorineural deafness in the patient (suggesting autosomal recessive Jervell and Lange-Nielsen syndrome, biallelic KCNQ1)?</t>
  </si>
  <si>
    <t>Yes — JLN syndrome (biallelic KCNQ1 loss-of-function) causes severe LQTS + deafness; extremely high arrhythmia risk; almost universally requires ICD; distinct from Romano-Ward autosomal dominant LQTS</t>
  </si>
  <si>
    <t>High confidence — LQTS confirmed; initiate beta-blocker (nadolol preferred, propranolol alternative for LQT1/LQT2); strict avoidance of QT-prolonging medications (CredibleMeds database); ICD for prior SCA, recurrent syncope on beta-blocker, or QTc ≥500 ms; consider LCSD for LQT1/LQT2 with breakthrough symptoms</t>
  </si>
  <si>
    <t>Moderate confidence — genetic testing mandatory (KCNQ1/KCNH2/SCN5A panel); exercise stress test; cascade family ECG screening; avoid QT-prolonging drugs prophylactically pending results; electrophysiology consultation</t>
  </si>
  <si>
    <t>Low confidence — borderline QTc with no other features; rule out acquired causes (electrolyte abnormalities, drug-induced, hypothyroidism); 24-hour Holter; repeat ECG in multiple settings; inherited arrhythmia clinic referral if index of suspicion persists</t>
  </si>
  <si>
    <t>LQTS Progression Framework — Pediatric Moonshot</t>
  </si>
  <si>
    <t>Long QT Syndrome  |  100-Point Adverse Prognostic Score  |  HRS/EHRA/APHRS 2013 Channelopathy Guidelines / AHA/ACC 2017 Ventricular Arrhythmia Guidelines / ESC 2022 Ventricular Arrhythmia Guidelines  |  SCD and Arrhythmia Risk Trajectory: Fast / Moderate / Slow</t>
  </si>
  <si>
    <t>ARRHYTHMIA EVENTS AND CARDIAC ARREST HISTORY — 35 pts</t>
  </si>
  <si>
    <t>Prior Cardiac Arrest / Aborted SCA</t>
  </si>
  <si>
    <t>Is there a history of resuscitated cardiac arrest or documented ventricular fibrillation attributed to LQTS?</t>
  </si>
  <si>
    <t>Yes — aborted SCA confirmed; highest-risk LQTS subgroup; ICD implantation Class I regardless of QTc; recurrent SCA risk ~10%/year without ICD; immediate ICD implantation and beta-blocker required</t>
  </si>
  <si>
    <t>Documented Torsades de Pointes</t>
  </si>
  <si>
    <t>Is there documented torsades de pointes (TdP) or polymorphic VT on telemetry, Holter, or event monitor?</t>
  </si>
  <si>
    <t>Yes — confirmed TdP; direct mechanism of syncope and SCA in LQTS; establishes high-risk classification; ICD strongly recommended; left cardiac sympathetic denervation (LCSD) consideration</t>
  </si>
  <si>
    <t>QTc SEVERITY AND ECG RISK MARKERS — 25 pts</t>
  </si>
  <si>
    <t>Markedly Prolonged QTc</t>
  </si>
  <si>
    <t>Is QTc ≥500 ms on resting 12-lead ECG (Bazett correction, average of 3–5 beats)?</t>
  </si>
  <si>
    <t>Yes — QTc ≥500 ms confirmed; &gt;10-fold increased SCD risk vs. general population; independent high-risk marker per HRS/EHRA/APHRS; ICD consideration even in asymptomatic patients</t>
  </si>
  <si>
    <t>QTc 480–499 ms with Risk Features</t>
  </si>
  <si>
    <t>Is QTc 480–499 ms with accompanying syncope history, high-risk genotype (LQT2/LQT3), or family SCD history?</t>
  </si>
  <si>
    <t>Yes — moderately prolonged QTc with compounding risk features confirmed; cumulative risk exceeds isolated QTc threshold; ICD discussion warranted</t>
  </si>
  <si>
    <t>T-Wave Alternans or 2:1 AV Block</t>
  </si>
  <si>
    <t>Is there T-wave alternans (beat-to-beat alternation in T-wave amplitude or polarity) or 2:1 AV block on ECG or Holter?</t>
  </si>
  <si>
    <t>Yes — T-wave alternans or 2:1 AV block confirmed; markers of severe repolarization instability; 2:1 AV block in neonatal LQTS (LQT3) carries very high mortality without pacing</t>
  </si>
  <si>
    <t>GENOTYPE AND HIGH-RISK SYNDROME — 20 pts</t>
  </si>
  <si>
    <t>Jervell and Lange-Nielsen Syndrome</t>
  </si>
  <si>
    <t>Is there confirmed Jervell and Lange-Nielsen syndrome (biallelic KCNQ1 loss-of-function + congenital sensorineural deafness)?</t>
  </si>
  <si>
    <t>Yes — JLN syndrome confirmed; most severe LQTS phenotype; near-universal arrhythmia events without treatment; ICD implantation in virtually all patients; LCSD adjunct strongly recommended</t>
  </si>
  <si>
    <t>LQT2 or LQT3 High-Risk Genotype</t>
  </si>
  <si>
    <t>Is the genotype LQT2 (KCNH2 pathogenic variant) or LQT3 (SCN5A gain-of-function), particularly with pore-region or dominant-negative mutations?</t>
  </si>
  <si>
    <t>Yes — LQT2/LQT3 high-risk genotype confirmed; LQT2 pore mutations and LQT3 SCN5A variants carry higher arrhythmia rates than LQT1; genotype-specific therapy (mexiletine for LQT3) available</t>
  </si>
  <si>
    <t>SYMPTOMS AND ARRHYTHMIA TRIGGERS — 10 pts</t>
  </si>
  <si>
    <t>Recurrent Syncope</t>
  </si>
  <si>
    <t>Has the patient had ≥2 syncopal episodes on beta-blocker therapy, or syncope with a clearly identified LQTS trigger (swimming, auditory startle, sleep)?</t>
  </si>
  <si>
    <t>Yes — recurrent or breakthrough syncope on therapy confirmed; beta-blocker failure; ICD implantation or LCSD escalation required; nadolol dose optimization before ICD if not yet maximized</t>
  </si>
  <si>
    <t>High-Risk Trigger Exposure</t>
  </si>
  <si>
    <t>Is the patient regularly exposed to confirmed high-risk genotype-specific triggers without adequate precautions (competitive swimming for LQT1; alarm clocks / sudden noise for LQT2; bradycardia during sleep for LQT3)?</t>
  </si>
  <si>
    <t>Yes — ongoing high-risk trigger exposure confirmed; immediate lifestyle modification counseling required; activity restrictions per genotype; QTc-prolonging drug avoidance (CredibleMeds review)</t>
  </si>
  <si>
    <t>FAMILY HISTORY AND CASCADE RISK — 7 pts</t>
  </si>
  <si>
    <t>Family SCD Under Age 40</t>
  </si>
  <si>
    <t>Is there unexplained sudden cardiac death at age &lt;40 years or unexplained drowning in a first- or second-degree relative?</t>
  </si>
  <si>
    <t>Yes — family SCD or drowning history confirmed; consistent with lethal LQTS event; raises risk classification; triggers cascade screening of all first-degree relatives</t>
  </si>
  <si>
    <t>Multiple Affected Family Members</t>
  </si>
  <si>
    <t>Are there ≥2 first-degree relatives with confirmed LQTS or pathogenic variant in the same gene?</t>
  </si>
  <si>
    <t>Yes — high-penetrance familial LQTS confirmed; indicates severe mutation with strong expressivity; higher likelihood of recurrent events across the family; genetic counseling required</t>
  </si>
  <si>
    <t>TREATMENT ADHERENCE AND RISK MODIFIERS — 3 pts</t>
  </si>
  <si>
    <t>QTc-Prolonging Drug Exposure</t>
  </si>
  <si>
    <t>Is the patient currently taking one or more QTc-prolonging medications (antiemetics, antibiotics, antidepressants, antifungals) identified on CredibleMeds review?</t>
  </si>
  <si>
    <t>Yes — drug-induced QT prolongation risk confirmed; immediate medication reconciliation required; substitute non-QT-prolonging alternatives wherever possible; electrolyte correction (K⁺ ≥4.0, Mg²⁺ ≥0.85)</t>
  </si>
  <si>
    <t>Electrolyte Depletion</t>
  </si>
  <si>
    <t>Is there documented hypokalemia (K⁺ &lt;3.5 mEq/L) or hypomagnesemia (Mg²⁺ &lt;0.75 mmol/L) on labs?</t>
  </si>
  <si>
    <t>Yes — electrolyte depletion confirmed; potassium and magnesium are critical for cardiac repolarization; replaces electrolytes promptly; high-potassium diet and supplementation as needed</t>
  </si>
  <si>
    <t>🔴 Fast Progression — Prior SCA or TdP + markedly prolonged QTc + high-risk genotype (JLN/LQT2/LQT3); ICD implantation (Class I); maximize beta-blocker (nadolol); LCSD consideration; strict activity restriction; CredibleMeds drug review; electrophysiology and genetics co-management</t>
  </si>
  <si>
    <t>🟡 Moderate Progression — Prolonged QTc (480–499 ms) or syncope on therapy without prior SCA; optimize beta-blocker dosing; genotype-specific therapy if LQT3 (mexiletine); ICD discussion; activity modification; annual cardiology follow-up with ECG and Holter</t>
  </si>
  <si>
    <t>🟢 Slow Progression — Asymptomatic with mildly prolonged QTc, no prior events, LQT1 genotype; beta-blocker therapy (nadolol); strict avoidance of QTc-prolonging drugs; genotype-specific lifestyle guidance; annual ECG; favorable arrhythmia-free trajectory</t>
  </si>
  <si>
    <t>HRS/EHRA/APHRS 2013 Channelopathy Expert Consensus (Priori et al.)  |  AHA/ACC/HRS 2017 Ventricular Arrhythmia Guidelines (Al-Khatib et al.)  |  ESC 2022 Ventricular Arrhythmia Guidelines (Zeppenfeld et al.)  |  Schwartz et al. Circulation 1993/2006 (Schwartz score)  |  Priori et al. Circulation 2003 (genotype-risk stratification)  |  Moss et al. NEJM 2000 (beta-blocker efficacy)  |  Dorostkar et al. JACC 1999 (LCSD outcomes)</t>
  </si>
  <si>
    <t>Pulmonary Valve Disease / RVOT Obstruction  AI Agent</t>
  </si>
  <si>
    <t>ECHOCARDIOGRAPHIC / IMAGING FINDINGS — 35 pts</t>
  </si>
  <si>
    <t>Is the peak instantaneous pulmonary valve gradient &gt;36 mmHg (peak Doppler velocity &gt;3.0 m/s) indicating at least moderate pulmonary stenosis?</t>
  </si>
  <si>
    <t>Yes — peak gradient &gt;36 mmHg = moderate PS; &gt;64 mmHg = severe PS per ACC/AHA criteria; catheter intervention threshold is peak gradient &gt;40 mmHg in symptomatic children or &gt;50 mmHg in asymptomatic children</t>
  </si>
  <si>
    <t>Is there RV dilation (RV:LV end-diastolic area ratio &gt;1.0 or RVEDVi &gt;150 mL/m² on CMR) from chronic pulmonary regurgitation (PR)?</t>
  </si>
  <si>
    <t>Yes — RV dilation is the primary driver of PV replacement decisions in repaired TOF and other RVOT conditions; RVEDVi &gt;150 mL/m² or RVESVi &gt;80 mL/m² is the conventional pulmonary valve replacement threshold</t>
  </si>
  <si>
    <t>Is there free or severe pulmonary regurgitation (PR fraction &gt;40% on CMR or dense PR jet without end-diastolic flow reversal on echo)?</t>
  </si>
  <si>
    <t>Yes — severe PR from prior pulmonary valvotomy, RVOT patch repair, or congenital PV absence causes progressive RV dilation and dysfunction; PR fraction &gt;40% by CMR phase-contrast is a criterion for PVR/TPVR referral</t>
  </si>
  <si>
    <t>Is the RVOT anatomy suitable for transcatheter pulmonary valve replacement (TPVR): conduit or native RVOT diameter 16–30 mm, without excessive calcification impeding landing zone?</t>
  </si>
  <si>
    <t>Yes — TPVR candidacy (Melody valve: conduits 14–28 mm; SAPIEN 3: 19–29 mm; Harmony TPV: native RVOT &gt;20 mm) determines interventional approach; coronary compression testing mandatory before implantation</t>
  </si>
  <si>
    <t>CARDIAC MRI (CMR) — 20 pts</t>
  </si>
  <si>
    <t>Does CMR confirm RV volumes: RVEDVi &gt;150 mL/m² or RVESVi &gt;80 mL/m² indicative of severe RV dilation from chronic PR?</t>
  </si>
  <si>
    <t>Yes — CMR is gold standard for RV volumetry; RVEDVi &gt;150 mL/m² is the most validated threshold for PVR timing in repaired TOF; early PVR (before RVEDVi &gt;160 mL/m²) improves RV remodeling</t>
  </si>
  <si>
    <t>Is RVEF &lt;45% on CMR (RV systolic dysfunction from chronic volume or pressure overload)?</t>
  </si>
  <si>
    <t>Yes — RVEF &lt;45% is an independent criterion for pulmonary valve intervention; RVEF &lt;40% predicts irreversible RV dysfunction if PVR is delayed; late gadolinium enhancement in RV indicates fibrosis and predicts arrhythmia risk</t>
  </si>
  <si>
    <t>CATHETERIZATION / HEMODYNAMICS — 15 pts</t>
  </si>
  <si>
    <t>Cath</t>
  </si>
  <si>
    <t>Does cardiac catheterization confirm peak RV-to-PA gradient &gt;40 mmHg for isolated pulmonary stenosis in symptomatic patients?</t>
  </si>
  <si>
    <t>Yes — catheterization confirms echo Doppler gradient; therapeutic balloon pulmonary valvuloplasty (BPV) indicated for peak gradient &gt;40 mmHg; BPV achieves &gt;85% acute success for valvar PS; conduit interventions may require TPVR</t>
  </si>
  <si>
    <t>Is the RV systolic pressure ≥2/3 systemic (suprasystemic or near-systemic RV pressure), indicating severe obstruction or associated pulmonary hypertension?</t>
  </si>
  <si>
    <t>Yes — suprasystemic RV pressure indicates critical PS or dynamic RVOT obstruction (infundibular component); near-systemic pressure predicts faster RV failure and elevates SCD risk from RV hypertrophy and fibrosis</t>
  </si>
  <si>
    <t>GENETICS / ASSOCIATED CONDITIONS — 10 pts</t>
  </si>
  <si>
    <t>Is there Noonan syndrome (PTPN11, SOS1, RAF1, RIT1 variants) — the most common genetic cause of pulmonary stenosis (present in ~50–80% of Noonan patients)?</t>
  </si>
  <si>
    <t>Yes — Noonan-associated PS is typically valvar with dysplastic, thickened, immobile leaflets; responds poorly to balloon valvuloplasty (success &lt;50%); surgical valvotomy or replacement often required; co-existing HCM in ~30% of Noonan</t>
  </si>
  <si>
    <t>Is there Tetralogy of Fallot (prior surgical repair), Williams syndrome, Alagille syndrome, or CHARGE syndrome contributing to RVOT/PA anatomy?</t>
  </si>
  <si>
    <t>Yes — syndromic RVOT disease dictates natural history; repaired TOF is the most common indication for PVR in adolescents/adults; Williams and Alagille cause supravalvar/branch PA stenosis requiring serial catheter interventions</t>
  </si>
  <si>
    <t>Is there exertional dyspnea, exercise intolerance (≥2 MET limitation), or new-onset heart failure symptoms (edema, hepatomegaly)?</t>
  </si>
  <si>
    <t>Yes — symptoms in RVOT disease indicate RV decompensation; exertional intolerance is the primary driver of intervention decisions; VO2max &lt;65% predicted on CPET is an additional objective criterion for PVR</t>
  </si>
  <si>
    <t>Is there documented sustained ventricular tachycardia, syncope, or a history of resuscitated cardiac arrest — particularly in repaired TOF?</t>
  </si>
  <si>
    <t>Yes — VT/syncope in repaired TOF indicates significant RV pathology; QRS &gt;180 ms on ECG + RV dilation is a major SCD risk combination; VT ablation ± ICD implantation required in addition to PVR</t>
  </si>
  <si>
    <t>DEVICE / INTERVENTION READINESS — 10 pts</t>
  </si>
  <si>
    <t>Intervention</t>
  </si>
  <si>
    <t>Is coronary compression testing negative (no coronary compromise with test balloon inflation in RVOT/conduit position), confirming TPVR safety?</t>
  </si>
  <si>
    <t>Yes — coronary compression occurs in ~5% of TPVR candidates; negative test is required before proceeding; positive result mandates surgical PVR instead of TPVR; CT coronary anatomy pre-procedure is mandatory</t>
  </si>
  <si>
    <t>Is the conduit or native RVOT calcified or obstructed in a pattern requiring prestenting before TPVR valve deployment?</t>
  </si>
  <si>
    <t>Yes — calcified conduits benefit from bare-metal prestenting to reduce fracture risk and optimize landing zone; Melody valve fracture rate without prestenting is ~10%; prestenting reduces to &lt;1%</t>
  </si>
  <si>
    <t>High confidence — PV disease with RV dilation/dysfunction confirmed; refer to interventional pediatric cardiologist for TPVR candidacy assessment (coronary CT, sizing); Melody or SAPIEN 3 for conduit disease; Harmony TPV for dilated native RVOT; surgical PVR for anatomy unsuitable for TPVR</t>
  </si>
  <si>
    <t>Moderate confidence — CMR mandatory for RV volumetry (RVEDVi, RVEF, PR fraction) and RVOT anatomy; exercise test for functional capacity; annual surveillance if below intervention threshold; ICD/electrophysiology evaluation if QRS &gt;160 ms or NSVT present</t>
  </si>
  <si>
    <t>Low confidence — mild PS or residual PR; surveillance echo every 1–2 years; if prior RVOT surgery, annual echo surveillance mandatory regardless of score; rule out dynamic RVOT obstruction with exercise echo; activity restrictions per ACC CHD guidelines</t>
  </si>
  <si>
    <t>Pulmonary Valve / RVOT Progression Framework — Pediatric Moonshot</t>
  </si>
  <si>
    <t>Pulmonary Valve Disease and RVOT Obstruction  |  100-Point Adverse Prognostic Score  |  ACC/AHA 2018 CHD Guidelines / AHA/ACC 2022 Valve Guidelines / Repaired TOF Long-Term Outcome Data  |  RV Dysfunction and Intervention Risk Trajectory: Fast / Moderate / Slow</t>
  </si>
  <si>
    <t>RV VOLUMES AND FUNCTION (CARDIAC MRI) — 30 pts</t>
  </si>
  <si>
    <t>RV Severe Dilation</t>
  </si>
  <si>
    <t>Is RVEDVi &gt;150 mL/m² or RVESVi &gt;80 mL/m² on cardiac MRI?</t>
  </si>
  <si>
    <t>Yes — severe RV dilation confirmed; RVEDVi &gt;150 mL/m² is the most validated CMR threshold for pulmonary valve replacement (PVR) in repaired TOF; PVR at this threshold achieves best RV reverse remodeling</t>
  </si>
  <si>
    <t>RV Systolic Dysfunction</t>
  </si>
  <si>
    <t>Yes — RVEF &lt;45% confirmed; independent criterion for PVR timing; RVEF &lt;40% predicts irreversible dysfunction if intervention delayed; urgent referral for TPVR or surgical PVR</t>
  </si>
  <si>
    <t>PULMONARY VALVE LESION SEVERITY — 25 pts</t>
  </si>
  <si>
    <t>Severe Pulmonary Regurgitation</t>
  </si>
  <si>
    <t>Is there severe pulmonary regurgitation (PR fraction &gt;40% on CMR or dense PR jet on echo without end-diastolic flow reversal)?</t>
  </si>
  <si>
    <t>Yes — severe PR confirmed; primary driver of progressive RV dilation in repaired TOF and post-valvotomy; PR fraction &gt;40% is a Class I CMR indication for PVR timing assessment</t>
  </si>
  <si>
    <t>Severe Pulmonary Stenosis</t>
  </si>
  <si>
    <t>Is peak pulmonary valve gradient &gt;64 mmHg (peak Doppler velocity &gt;4.0 m/s) or peak RV–PA gradient &gt;40 mmHg on cath?</t>
  </si>
  <si>
    <t>Yes — severe PS confirmed; Class I indication for intervention (BPV or surgical/transcatheter PVR); RV pressure &gt;2/3 systemic is an independent high-risk marker</t>
  </si>
  <si>
    <t>Combined PS and PR</t>
  </si>
  <si>
    <t>Is there significant combined pulmonary stenosis and regurgitation (gradient &gt;36 mmHg + PR fraction &gt;25%)?</t>
  </si>
  <si>
    <t>Yes — mixed PS/PR lesion confirmed; double burden on RV; often seen in repaired TOF with RVOT patch; accelerates RV dilation and dysfunction</t>
  </si>
  <si>
    <t>Sustained VT or Cardiac Arrest</t>
  </si>
  <si>
    <t>Is there documented sustained ventricular tachycardia, resuscitated cardiac arrest, or unexplained syncope in the setting of RVOT disease?</t>
  </si>
  <si>
    <t>Yes — ventricular arrhythmia or SCA confirmed; major SCD risk marker in repaired TOF; ICD implantation indicated; electrophysiology study and ablation considered; urgent PVR to reduce arrhythmia substrate</t>
  </si>
  <si>
    <t>QRS Duration ≥180 ms</t>
  </si>
  <si>
    <t>Is QRS duration ≥180 ms on 12-lead ECG (in repaired TOF or other RVOT surgery)?</t>
  </si>
  <si>
    <t>Yes — QRS ≥180 ms confirmed; strongest ECG predictor of SCD in repaired TOF; combined with RV dilation, marks highest arrhythmia risk subgroup; PVR shortens QRS and reduces SCD risk</t>
  </si>
  <si>
    <t>SYMPTOMS AND EXERCISE CAPACITY — 10 pts</t>
  </si>
  <si>
    <t>Exertional Symptoms / Heart Failure</t>
  </si>
  <si>
    <t>Is there exertional dyspnea, exercise intolerance (≥2 MET limitation), or new-onset right heart failure (peripheral edema, hepatomegaly, ascites)?</t>
  </si>
  <si>
    <t>Yes — symptomatic RV decompensation confirmed; primary clinical driver of intervention; NYHA class II–IV in RVOT disease indicates RV reserve exhaustion; intervention urgency elevated</t>
  </si>
  <si>
    <t>Reduced Exercise Capacity on Testing</t>
  </si>
  <si>
    <t>Does cardiopulmonary exercise testing (CPET) show VO₂ max &lt;65% predicted or VE/VCO₂ slope &gt;34?</t>
  </si>
  <si>
    <t>Yes — objectively reduced exercise capacity confirmed; reflects chronotropic incompetence or reduced RV stroke volume augmentation; supports intervention even in borderline-symptomatic patients</t>
  </si>
  <si>
    <t>GENETICS, SYNDROME, AND PRIOR REPAIR HISTORY — 10 pts</t>
  </si>
  <si>
    <t>Repaired Tetralogy of Fallot</t>
  </si>
  <si>
    <t>Is there a history of surgical repair of Tetralogy of Fallot (complete repair with transannular patch or conduit)?</t>
  </si>
  <si>
    <t>Yes — repaired TOF confirmed; most common indication for PVR in adolescents and adults; transannular patch repair causes free PR; conduit repair causes mixed PS/PR; lifelong cardiology follow-up mandatory</t>
  </si>
  <si>
    <t>Noonan or Syndromic PS</t>
  </si>
  <si>
    <t>Is there Noonan syndrome (PTPN11/SOS1/RAF1) or other syndrome (Williams, Alagille, CHARGE) as the underlying etiology of RVOT disease?</t>
  </si>
  <si>
    <t>Yes — syndromic RVOT disease confirmed; Noonan PS typically dysplastic — responds poorly to BPV; surgical valvotomy or PVR preferred; syndrome-specific cardiovascular surveillance required</t>
  </si>
  <si>
    <t>INTERVENTION READINESS AND ANATOMIC SUITABILITY — 5 pts</t>
  </si>
  <si>
    <t>TPVR Anatomic Suitability</t>
  </si>
  <si>
    <t>Is the conduit or native RVOT diameter 16–30 mm and is coronary compression testing negative, confirming TPVR candidacy?</t>
  </si>
  <si>
    <t>Yes — TPVR candidacy confirmed (Melody, SAPIEN 3, or Harmony TPV); transcatheter approach preferred over surgery in suitable anatomy; reduces procedural risk and recovery time vs. repeat open-heart surgery</t>
  </si>
  <si>
    <t>Conduit Calcification Requiring Prestenting</t>
  </si>
  <si>
    <t>Is the existing RV-PA conduit calcified or obstructed in a pattern requiring bare-metal prestenting before TPVR?</t>
  </si>
  <si>
    <t>Yes — conduit calcification requiring prestenting confirmed; increases procedural complexity; prestenting optimizes landing zone and reduces conduit fracture risk post-TPVR</t>
  </si>
  <si>
    <t>🔴 Fast Progression — Severe RV dilation (RVEDVi &gt;150) + RV dysfunction + VT/SCA or QRS ≥180 ms; urgent pulmonary valve replacement (TPVR or surgical PVR); ICD implantation if arrhythmia present; electrophysiology and interventional cardiology co-management; adult CHD center referral</t>
  </si>
  <si>
    <t>🟡 Moderate Progression — Moderate RV dilation or severe PR/PS with preserved RV function and no arrhythmia; annual CMR for RV volumetry; CPET every 2 years; plan intervention when RVEDVi approaches 150 mL/m² or symptoms develop; CHD cardiology follow-up every 6–12 months</t>
  </si>
  <si>
    <t>🟢 Slow Progression — Mild residual PS or PR, preserved RV function, no arrhythmia, no symptoms; echo surveillance every 1–2 years; CMR every 3–5 years; activity guidance per ACC CHD recommendations; favorable long-term trajectory</t>
  </si>
  <si>
    <t>ACC/AHA 2018 Congenital Heart Disease Guidelines (Stout et al.)  |  AHA/ACC 2022 Valvular Heart Disease Guidelines  |  Geva et al. JACC 2011 (CMR thresholds for PVR in repaired TOF)  |  Harrild et al. JACC 2009 (QRS and arrhythmia in repaired TOF)  |  Lurz et al. JACC 2008 (Melody TPVR outcomes)  |  McElhinney et al. JACC 2021 (Harmony TPV native RVOT)  |  Valente et al. JACC 2014 (CMR predictors of adverse outcomes TOF)</t>
  </si>
  <si>
    <t>Maternal CHD Risk  AI Agent</t>
  </si>
  <si>
    <t>Each domain question draws from the complete maternal medical record. Points reflect diagnostic weight for fetal CHD. Cost reflects typical test burden: Small = existing record / standard prenatal ultrasound  |  Medium = targeted genetic panel or fetal echo ($200–$1,500)  |  Large = advanced imaging, amniocentesis, or MFM consultation ($1,500–$5,000+)</t>
  </si>
  <si>
    <t>FETAL ULTRASOUND / IMAGING — 30 pts</t>
  </si>
  <si>
    <t>Fetal Ultrasound</t>
  </si>
  <si>
    <t>Was the 4-chamber view abnormal (asymmetric chambers, hypoplastic ventricle, or atrioventricular discordance) on anatomic ultrasound at 18–22 weeks?</t>
  </si>
  <si>
    <t>Yes — 4-chamber abnormality carries ~70–80% PPV for structural CHD and is the primary screening signal</t>
  </si>
  <si>
    <t>Were the outflow tracts (LVOT/RVOT) absent, overriding, or in a transposition pattern on targeted fetal echo?</t>
  </si>
  <si>
    <t>Yes — outflow tract views combined with 4-chamber view raise diagnostic sensitivity to &gt;90%</t>
  </si>
  <si>
    <t>Is there nuchal translucency (NT) ≥3.5 mm at 11–14 weeks on first-trimester ultrasound?</t>
  </si>
  <si>
    <t>Yes — NT ≥3.5 mm is associated with CHD independent of chromosomal anomaly</t>
  </si>
  <si>
    <t>Is there evidence of hydrops fetalis (ascites, pleural effusion, skin edema, or pericardial effusion)?</t>
  </si>
  <si>
    <t>Yes — hydrops signals severe cardiac compromise or structural CHD with high-output failure</t>
  </si>
  <si>
    <t>Is fetal cardiac axis outside the normal 30–60° range (dextrocardia or axis deviation)?</t>
  </si>
  <si>
    <t>Yes — abnormal cardiac axis is an independent ultrasound marker for structural CHD</t>
  </si>
  <si>
    <t>GENETIC &amp; FAMILY HISTORY — 25 pts</t>
  </si>
  <si>
    <t>Does the mother or father have a confirmed CHD diagnosis?</t>
  </si>
  <si>
    <t>Yes — parental CHD confers 3–10× recurrence risk over population baseline of ~1%</t>
  </si>
  <si>
    <t>Is there a known genetic syndrome in the family (Down, DiGeorge/22q11, Turner, Noonan, Williams, CHARGE)?</t>
  </si>
  <si>
    <t>Yes — syndrome-linked CHD risk ranges from 25% (Noonan) to 75% (DiGeorge/22q11)</t>
  </si>
  <si>
    <t>Is there a first-degree sibling with a confirmed CHD?</t>
  </si>
  <si>
    <t>Yes — sibling CHD recurrence risk is 2–3% vs. ~1% population baseline</t>
  </si>
  <si>
    <t>Was a prior pregnancy affected by CHD?</t>
  </si>
  <si>
    <t>Yes — prior affected pregnancy elevates recurrence risk, especially for left-sided obstructive lesions</t>
  </si>
  <si>
    <t>PRENATAL GENETIC TESTING — 20 pts</t>
  </si>
  <si>
    <t>Prenatal Genetics</t>
  </si>
  <si>
    <t>Does cell-free fetal DNA (cfDNA / NIPT) flag Trisomy 21, 18, 13, or 22q11.2 deletion?</t>
  </si>
  <si>
    <t>Yes — Trisomy 21: 40–50% CHD rate; Trisomy 18: &gt;90%; 22q11 deletion: ~75% CHD rate</t>
  </si>
  <si>
    <t>Does amniocentesis or CVS karyotype confirm a chromosomal abnormality?</t>
  </si>
  <si>
    <t>Yes — confirms cfDNA signal and defines the specific aneuploidy for recurrence counseling</t>
  </si>
  <si>
    <t>Does chromosomal microarray identify a pathogenic CNV in a cardiac developmental gene (TBX1, GATA4, NKX2-5, or 22q11.2 locus)?</t>
  </si>
  <si>
    <t>Yes — CNVs in these loci directly implicate cardiac morphogenesis</t>
  </si>
  <si>
    <t>MATERNAL EXPOSURES / TERATOGENS — 15 pts</t>
  </si>
  <si>
    <t>Teratogen Exposure</t>
  </si>
  <si>
    <t>Was lithium used in the first trimester?</t>
  </si>
  <si>
    <t>Yes — lithium is associated with Ebstein's anomaly of the tricuspid valve</t>
  </si>
  <si>
    <t>Was isotretinoin (Accutane) or another retinoic acid derivative used in the first trimester?</t>
  </si>
  <si>
    <t>Yes — retinoic acid derivatives are among the highest-risk cardiac teratogens (conotruncal defects, aortic arch anomalies)</t>
  </si>
  <si>
    <t>Was there rubella infection or confirmed inadequate rubella immunity in the first trimester?</t>
  </si>
  <si>
    <t>Yes — first-trimester rubella causes pulmonary artery stenosis and patent ductus arteriosus</t>
  </si>
  <si>
    <t>Was there significant alcohol or cocaine use documented in the social history (first trimester)?</t>
  </si>
  <si>
    <t>Yes — alcohol is associated with VSD and septal defects; cocaine with aortic coarctation</t>
  </si>
  <si>
    <t>Was paroxetine (Paxil) or another SSRI used consistently in the first trimester?</t>
  </si>
  <si>
    <t>Yes — paroxetine carries a modest but consistent signal for VSD and right-heart defects</t>
  </si>
  <si>
    <t>MATERNAL CHRONIC DISEASE — 10 pts</t>
  </si>
  <si>
    <t>Maternal Disease</t>
  </si>
  <si>
    <t>Is there pregestational Type 1 or Type 2 diabetes with HbA1c &gt;8% in the first trimester?</t>
  </si>
  <si>
    <t>Yes — pregestational diabetes increases CHD risk 3–5× over baseline; transposition, VSD, and heterotaxy are most common</t>
  </si>
  <si>
    <t>Is there maternal SLE with positive anti-Ro/SSA or anti-La/SSB antibodies?</t>
  </si>
  <si>
    <t>Yes — anti-Ro/SSA antibodies cause congenital complete heart block in 2–3% of exposed fetuses</t>
  </si>
  <si>
    <t>Is there maternal obesity (BMI ≥40) limiting ultrasound anatomic survey quality?</t>
  </si>
  <si>
    <t>Yes — severe obesity is an independent modest risk factor and significantly compromises fetal echo sensitivity</t>
  </si>
  <si>
    <t>High confidence — fetal structural CHD highly probable; immediate referral to pediatric cardiologist and maternal-fetal medicine (MFM); delivery planning at CCHD-capable center with cardiac surgery on site</t>
  </si>
  <si>
    <t>Moderate confidence — targeted fetal echocardiogram mandatory; MFM consultation indicated; genetic counseling if chromosomal or syndromic CHD suspected</t>
  </si>
  <si>
    <t>Low confidence — background or mildly elevated CHD risk; routine anatomic survey at 18–22 weeks adequate; fetal echo warranted if genetic testing or ultrasound findings evolve during pregnancy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</si>
</sst>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Aptos Narrow"/>
      <family val="2"/>
      <charset val="1"/>
    </font>
    <font>
      <i/>
      <sz val="14"/>
      <color rgb="FF444444"/>
      <name val="Arial"/>
      <family val="2"/>
      <charset val="1"/>
    </font>
    <font>
      <sz val="14"/>
      <color theme="1"/>
      <name val="Aptos Narrow"/>
      <family val="2"/>
      <charset val="1"/>
    </font>
    <font>
      <b/>
      <sz val="14"/>
      <color rgb="FFFFFFFF"/>
      <name val="Arial"/>
      <family val="2"/>
      <charset val="1"/>
    </font>
    <font>
      <sz val="14"/>
      <color rgb="FF444444"/>
      <name val="Arial"/>
      <family val="2"/>
      <charset val="1"/>
    </font>
    <font>
      <b/>
      <sz val="14"/>
      <color rgb="FF1F3864"/>
      <name val="Arial"/>
      <family val="2"/>
      <charset val="1"/>
    </font>
    <font>
      <sz val="14"/>
      <color rgb="FF000000"/>
      <name val="Arial"/>
      <family val="2"/>
      <charset val="1"/>
    </font>
    <font>
      <sz val="14"/>
      <color rgb="FF1A5C1A"/>
      <name val="Arial"/>
      <family val="2"/>
      <charset val="1"/>
    </font>
    <font>
      <b/>
      <sz val="14"/>
      <color rgb="FF1E6B1E"/>
      <name val="Arial"/>
      <family val="2"/>
      <charset val="1"/>
    </font>
    <font>
      <b/>
      <sz val="14"/>
      <color rgb="FF7A5900"/>
      <name val="Arial"/>
      <family val="2"/>
      <charset val="1"/>
    </font>
    <font>
      <b/>
      <sz val="14"/>
      <color rgb="FFFFFFFF"/>
      <name val="Arial"/>
      <family val="2"/>
    </font>
    <font>
      <i/>
      <sz val="14"/>
      <color rgb="FF555555"/>
      <name val="Arial"/>
      <family val="2"/>
    </font>
    <font>
      <b/>
      <sz val="14"/>
      <color rgb="FF1F3864"/>
      <name val="Arial"/>
      <family val="2"/>
    </font>
    <font>
      <sz val="14"/>
      <name val="Arial"/>
      <family val="2"/>
    </font>
    <font>
      <i/>
      <sz val="14"/>
      <color rgb="FF888888"/>
      <name val="Arial"/>
      <family val="2"/>
    </font>
    <font>
      <sz val="14"/>
      <color theme="1"/>
      <name val="Arial"/>
      <family val="2"/>
    </font>
    <font>
      <sz val="14"/>
      <color rgb="FF444444"/>
      <name val="Arial"/>
      <family val="2"/>
    </font>
    <font>
      <sz val="14"/>
      <color rgb="FF000000"/>
      <name val="Arial"/>
      <family val="2"/>
    </font>
    <font>
      <sz val="14"/>
      <color rgb="FF1A5C1A"/>
      <name val="Arial"/>
      <family val="2"/>
    </font>
    <font>
      <b/>
      <sz val="14"/>
      <color rgb="FF1E6B1E"/>
      <name val="Arial"/>
      <family val="2"/>
    </font>
    <font>
      <i/>
      <sz val="14"/>
      <color rgb="FF444444"/>
      <name val="Arial"/>
      <family val="2"/>
    </font>
    <font>
      <b/>
      <sz val="10"/>
      <color rgb="FF1F3864"/>
      <name val="Arial"/>
      <family val="2"/>
    </font>
    <font>
      <sz val="9"/>
      <color rgb="FF1F3864"/>
      <name val="Arial"/>
      <family val="2"/>
    </font>
    <font>
      <sz val="12"/>
      <name val="Aptos Narrow"/>
    </font>
    <font>
      <b/>
      <sz val="14"/>
      <color theme="0"/>
      <name val="Arial"/>
      <family val="2"/>
      <charset val="1"/>
    </font>
    <font>
      <b/>
      <sz val="14"/>
      <color rgb="FF8B0000"/>
      <name val="Arial"/>
      <family val="2"/>
      <charset val="1"/>
    </font>
    <font>
      <sz val="14"/>
      <color rgb="FF1F3864"/>
      <name val="Arial"/>
      <family val="2"/>
    </font>
    <font>
      <sz val="14"/>
      <name val="Aptos Narrow"/>
    </font>
    <font>
      <sz val="14"/>
      <color theme="1"/>
      <name val="Arial"/>
      <family val="2"/>
      <charset val="1"/>
    </font>
    <font>
      <b/>
      <sz val="14"/>
      <color rgb="FF4A0060"/>
      <name val="Arial"/>
      <family val="2"/>
      <charset val="1"/>
    </font>
    <font>
      <i/>
      <sz val="14"/>
      <color rgb="FF333333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0F4FA"/>
        <bgColor rgb="FFEEF4FB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9F9F9"/>
      </patternFill>
    </fill>
    <fill>
      <patternFill patternType="solid">
        <fgColor rgb="FFC6ECC6"/>
        <bgColor rgb="FFD4EFDF"/>
      </patternFill>
    </fill>
    <fill>
      <patternFill patternType="solid">
        <fgColor rgb="FFEEF4FB"/>
        <bgColor rgb="FFF0F4FA"/>
      </patternFill>
    </fill>
    <fill>
      <patternFill patternType="solid">
        <fgColor rgb="FFFDDCDC"/>
        <bgColor rgb="FFFDEBD7"/>
      </patternFill>
    </fill>
    <fill>
      <patternFill patternType="solid">
        <fgColor rgb="FFFFF2CC"/>
        <bgColor rgb="FFFDEBD7"/>
      </patternFill>
    </fill>
    <fill>
      <patternFill patternType="solid">
        <fgColor rgb="FF7B2D8B"/>
        <bgColor rgb="FF993366"/>
      </patternFill>
    </fill>
    <fill>
      <patternFill patternType="solid">
        <fgColor rgb="FFF9F0FC"/>
        <bgColor rgb="FFF2F2F2"/>
      </patternFill>
    </fill>
    <fill>
      <patternFill patternType="solid">
        <fgColor rgb="FFFFF8E7"/>
        <bgColor rgb="FFFEF9E7"/>
      </patternFill>
    </fill>
    <fill>
      <patternFill patternType="solid">
        <fgColor rgb="FFF2F2F2"/>
        <bgColor rgb="FFF0F4FA"/>
      </patternFill>
    </fill>
    <fill>
      <patternFill patternType="solid">
        <fgColor rgb="FF2E4057"/>
        <bgColor rgb="FF1F3864"/>
      </patternFill>
    </fill>
    <fill>
      <patternFill patternType="solid">
        <fgColor rgb="FFD6E4F0"/>
        <bgColor rgb="FFD4EFDF"/>
      </patternFill>
    </fill>
    <fill>
      <patternFill patternType="solid">
        <fgColor rgb="FFF9F9F9"/>
        <bgColor rgb="FFFFFFFF"/>
      </patternFill>
    </fill>
    <fill>
      <patternFill patternType="solid">
        <fgColor rgb="FF1F3864"/>
      </patternFill>
    </fill>
    <fill>
      <patternFill patternType="solid">
        <fgColor rgb="FFF0F4FA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CC6"/>
      </patternFill>
    </fill>
    <fill>
      <patternFill patternType="solid">
        <fgColor rgb="FFDCE6F1"/>
      </patternFill>
    </fill>
    <fill>
      <patternFill patternType="solid">
        <fgColor rgb="FFFFC000"/>
      </patternFill>
    </fill>
    <fill>
      <patternFill patternType="solid">
        <fgColor rgb="FFFDDCDC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5" borderId="0" xfId="0" applyFont="1" applyFill="1"/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0" borderId="0" xfId="0" applyFont="1"/>
    <xf numFmtId="0" fontId="10" fillId="14" borderId="3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/>
    </xf>
    <xf numFmtId="0" fontId="2" fillId="15" borderId="3" xfId="0" applyFont="1" applyFill="1" applyBorder="1"/>
    <xf numFmtId="0" fontId="13" fillId="5" borderId="3" xfId="0" applyFont="1" applyFill="1" applyBorder="1" applyAlignment="1">
      <alignment vertical="top" wrapText="1"/>
    </xf>
    <xf numFmtId="0" fontId="13" fillId="5" borderId="3" xfId="0" applyFont="1" applyFill="1" applyBorder="1" applyAlignment="1">
      <alignment horizontal="center" vertical="top"/>
    </xf>
    <xf numFmtId="0" fontId="13" fillId="16" borderId="3" xfId="0" applyFont="1" applyFill="1" applyBorder="1" applyAlignment="1">
      <alignment vertical="top" wrapText="1"/>
    </xf>
    <xf numFmtId="0" fontId="13" fillId="16" borderId="3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14" fillId="0" borderId="0" xfId="0" applyFont="1"/>
    <xf numFmtId="0" fontId="10" fillId="17" borderId="8" xfId="0" applyFont="1" applyFill="1" applyBorder="1" applyAlignment="1">
      <alignment horizontal="center" vertical="center" wrapText="1"/>
    </xf>
    <xf numFmtId="0" fontId="15" fillId="0" borderId="0" xfId="0" applyFont="1"/>
    <xf numFmtId="0" fontId="12" fillId="20" borderId="8" xfId="0" applyFont="1" applyFill="1" applyBorder="1" applyAlignment="1">
      <alignment horizontal="left" vertical="center" wrapText="1"/>
    </xf>
    <xf numFmtId="0" fontId="17" fillId="20" borderId="8" xfId="0" applyFont="1" applyFill="1" applyBorder="1" applyAlignment="1">
      <alignment horizontal="left" vertical="center" wrapText="1"/>
    </xf>
    <xf numFmtId="0" fontId="18" fillId="21" borderId="8" xfId="0" applyFont="1" applyFill="1" applyBorder="1" applyAlignment="1">
      <alignment horizontal="left" vertical="center" wrapText="1"/>
    </xf>
    <xf numFmtId="0" fontId="12" fillId="20" borderId="8" xfId="0" applyFont="1" applyFill="1" applyBorder="1" applyAlignment="1">
      <alignment horizontal="center" vertical="center" wrapText="1"/>
    </xf>
    <xf numFmtId="0" fontId="19" fillId="21" borderId="8" xfId="0" applyFont="1" applyFill="1" applyBorder="1" applyAlignment="1">
      <alignment horizontal="center" vertical="center" wrapText="1"/>
    </xf>
    <xf numFmtId="0" fontId="12" fillId="22" borderId="8" xfId="0" applyFont="1" applyFill="1" applyBorder="1" applyAlignment="1">
      <alignment horizontal="left" vertical="center" wrapText="1"/>
    </xf>
    <xf numFmtId="0" fontId="17" fillId="22" borderId="8" xfId="0" applyFont="1" applyFill="1" applyBorder="1" applyAlignment="1">
      <alignment horizontal="left" vertical="center" wrapText="1"/>
    </xf>
    <xf numFmtId="0" fontId="12" fillId="22" borderId="8" xfId="0" applyFont="1" applyFill="1" applyBorder="1" applyAlignment="1">
      <alignment horizontal="center" vertical="center" wrapText="1"/>
    </xf>
    <xf numFmtId="0" fontId="15" fillId="17" borderId="0" xfId="0" applyFont="1" applyFill="1"/>
    <xf numFmtId="0" fontId="12" fillId="23" borderId="8" xfId="0" applyFont="1" applyFill="1" applyBorder="1" applyAlignment="1">
      <alignment horizontal="center" vertical="center" wrapText="1"/>
    </xf>
    <xf numFmtId="0" fontId="15" fillId="23" borderId="0" xfId="0" applyFont="1" applyFill="1"/>
    <xf numFmtId="0" fontId="0" fillId="0" borderId="6" xfId="0" applyBorder="1"/>
    <xf numFmtId="0" fontId="23" fillId="0" borderId="3" xfId="0" applyFont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21" fillId="24" borderId="0" xfId="0" applyFont="1" applyFill="1" applyAlignment="1">
      <alignment horizontal="center" vertical="center" wrapText="1"/>
    </xf>
    <xf numFmtId="0" fontId="21" fillId="25" borderId="0" xfId="0" applyFont="1" applyFill="1" applyAlignment="1">
      <alignment horizontal="center" vertical="center" wrapText="1"/>
    </xf>
    <xf numFmtId="0" fontId="21" fillId="21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10" fillId="17" borderId="8" xfId="0" applyFont="1" applyFill="1" applyBorder="1" applyAlignment="1">
      <alignment horizontal="right" vertical="center" wrapText="1"/>
    </xf>
    <xf numFmtId="0" fontId="0" fillId="0" borderId="9" xfId="0" applyBorder="1"/>
    <xf numFmtId="0" fontId="0" fillId="0" borderId="10" xfId="0" applyBorder="1"/>
    <xf numFmtId="0" fontId="10" fillId="19" borderId="8" xfId="0" applyFont="1" applyFill="1" applyBorder="1" applyAlignment="1">
      <alignment horizontal="left" vertical="center" wrapText="1"/>
    </xf>
    <xf numFmtId="0" fontId="16" fillId="18" borderId="8" xfId="0" applyFont="1" applyFill="1" applyBorder="1" applyAlignment="1">
      <alignment horizontal="left" vertical="center" wrapText="1"/>
    </xf>
    <xf numFmtId="0" fontId="17" fillId="20" borderId="8" xfId="0" applyFont="1" applyFill="1" applyBorder="1" applyAlignment="1">
      <alignment horizontal="left" vertical="center" wrapText="1"/>
    </xf>
    <xf numFmtId="0" fontId="10" fillId="17" borderId="8" xfId="0" applyFont="1" applyFill="1" applyBorder="1" applyAlignment="1">
      <alignment horizontal="center" vertical="center" wrapText="1"/>
    </xf>
    <xf numFmtId="0" fontId="20" fillId="18" borderId="8" xfId="0" applyFont="1" applyFill="1" applyBorder="1" applyAlignment="1">
      <alignment horizontal="left" vertical="center" wrapText="1"/>
    </xf>
    <xf numFmtId="0" fontId="12" fillId="23" borderId="8" xfId="0" applyFont="1" applyFill="1" applyBorder="1" applyAlignment="1">
      <alignment horizontal="right" vertical="center" wrapText="1"/>
    </xf>
    <xf numFmtId="0" fontId="10" fillId="17" borderId="8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0" fillId="2" borderId="3" xfId="0" applyFont="1" applyFill="1" applyBorder="1"/>
    <xf numFmtId="0" fontId="0" fillId="0" borderId="6" xfId="0" applyBorder="1"/>
    <xf numFmtId="0" fontId="0" fillId="0" borderId="7" xfId="0" applyBorder="1"/>
    <xf numFmtId="0" fontId="12" fillId="15" borderId="3" xfId="0" applyFont="1" applyFill="1" applyBorder="1"/>
    <xf numFmtId="0" fontId="10" fillId="14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2" fillId="0" borderId="0" xfId="0" applyFont="1"/>
    <xf numFmtId="0" fontId="1" fillId="11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2" fillId="5" borderId="0" xfId="0" applyFont="1" applyFill="1"/>
    <xf numFmtId="0" fontId="4" fillId="5" borderId="0" xfId="0" applyFont="1" applyFill="1" applyAlignment="1">
      <alignment horizontal="left" vertical="center" wrapText="1"/>
    </xf>
    <xf numFmtId="0" fontId="22" fillId="25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center" vertical="center" wrapText="1"/>
    </xf>
    <xf numFmtId="0" fontId="22" fillId="21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right" vertical="center"/>
    </xf>
    <xf numFmtId="0" fontId="22" fillId="24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indent="1"/>
    </xf>
    <xf numFmtId="0" fontId="2" fillId="0" borderId="4" xfId="0" applyFont="1" applyBorder="1"/>
    <xf numFmtId="0" fontId="2" fillId="0" borderId="5" xfId="0" applyFont="1" applyBorder="1"/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5" fillId="5" borderId="1" xfId="0" applyFont="1" applyFill="1" applyBorder="1" applyAlignment="1">
      <alignment vertical="top" wrapText="1" inden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 indent="1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/>
    </xf>
    <xf numFmtId="0" fontId="25" fillId="8" borderId="1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right" vertical="center" inden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 vertical="center" indent="1"/>
    </xf>
    <xf numFmtId="0" fontId="12" fillId="24" borderId="1" xfId="0" applyFont="1" applyFill="1" applyBorder="1" applyAlignment="1">
      <alignment horizontal="center" vertical="center" wrapText="1"/>
    </xf>
    <xf numFmtId="0" fontId="26" fillId="24" borderId="1" xfId="0" applyFont="1" applyFill="1" applyBorder="1" applyAlignment="1">
      <alignment horizontal="left" vertical="top" wrapText="1"/>
    </xf>
    <xf numFmtId="0" fontId="12" fillId="25" borderId="1" xfId="0" applyFont="1" applyFill="1" applyBorder="1" applyAlignment="1">
      <alignment horizontal="center" vertical="center" wrapText="1"/>
    </xf>
    <xf numFmtId="0" fontId="26" fillId="25" borderId="1" xfId="0" applyFont="1" applyFill="1" applyBorder="1" applyAlignment="1">
      <alignment horizontal="left" vertical="top" wrapText="1"/>
    </xf>
    <xf numFmtId="0" fontId="12" fillId="21" borderId="1" xfId="0" applyFont="1" applyFill="1" applyBorder="1" applyAlignment="1">
      <alignment horizontal="center" vertical="center" wrapText="1"/>
    </xf>
    <xf numFmtId="0" fontId="26" fillId="21" borderId="1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" fillId="0" borderId="4" xfId="0" applyFont="1" applyBorder="1"/>
    <xf numFmtId="0" fontId="2" fillId="0" borderId="5" xfId="0" applyFont="1" applyBorder="1"/>
    <xf numFmtId="0" fontId="28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 indent="1"/>
    </xf>
    <xf numFmtId="0" fontId="6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2" fillId="0" borderId="6" xfId="0" applyFont="1" applyBorder="1"/>
    <xf numFmtId="0" fontId="2" fillId="0" borderId="7" xfId="0" applyFont="1" applyBorder="1"/>
    <xf numFmtId="0" fontId="12" fillId="24" borderId="3" xfId="0" applyFont="1" applyFill="1" applyBorder="1" applyAlignment="1">
      <alignment horizontal="center" vertical="center" wrapText="1"/>
    </xf>
    <xf numFmtId="0" fontId="26" fillId="24" borderId="2" xfId="0" applyFont="1" applyFill="1" applyBorder="1" applyAlignment="1">
      <alignment horizontal="left" vertical="top" wrapText="1"/>
    </xf>
    <xf numFmtId="0" fontId="12" fillId="25" borderId="3" xfId="0" applyFont="1" applyFill="1" applyBorder="1" applyAlignment="1">
      <alignment horizontal="center" vertical="center" wrapText="1"/>
    </xf>
    <xf numFmtId="0" fontId="26" fillId="25" borderId="2" xfId="0" applyFont="1" applyFill="1" applyBorder="1" applyAlignment="1">
      <alignment horizontal="left" vertical="top" wrapText="1"/>
    </xf>
    <xf numFmtId="0" fontId="12" fillId="21" borderId="3" xfId="0" applyFont="1" applyFill="1" applyBorder="1" applyAlignment="1">
      <alignment horizontal="center" vertical="center" wrapText="1"/>
    </xf>
    <xf numFmtId="0" fontId="26" fillId="21" borderId="2" xfId="0" applyFont="1" applyFill="1" applyBorder="1" applyAlignment="1">
      <alignment horizontal="left" vertical="top" wrapText="1"/>
    </xf>
    <xf numFmtId="0" fontId="27" fillId="0" borderId="3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" fillId="0" borderId="6" xfId="0" applyFont="1" applyBorder="1"/>
    <xf numFmtId="0" fontId="3" fillId="10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2" fillId="10" borderId="1" xfId="0" applyFont="1" applyFill="1" applyBorder="1"/>
    <xf numFmtId="0" fontId="29" fillId="5" borderId="1" xfId="0" applyFont="1" applyFill="1" applyBorder="1" applyAlignment="1">
      <alignment horizontal="left" vertical="top" wrapText="1" indent="1"/>
    </xf>
    <xf numFmtId="0" fontId="29" fillId="5" borderId="1" xfId="0" applyFont="1" applyFill="1" applyBorder="1" applyAlignment="1">
      <alignment horizontal="center" vertical="top"/>
    </xf>
    <xf numFmtId="0" fontId="29" fillId="7" borderId="1" xfId="0" applyFont="1" applyFill="1" applyBorder="1" applyAlignment="1">
      <alignment horizontal="left" vertical="top" wrapText="1" indent="1"/>
    </xf>
    <xf numFmtId="0" fontId="29" fillId="7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right" vertical="center" indent="1"/>
    </xf>
    <xf numFmtId="0" fontId="30" fillId="1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B0000"/>
      <rgbColor rgb="FF1E6B1E"/>
      <rgbColor rgb="FF000080"/>
      <rgbColor rgb="FF7A5900"/>
      <rgbColor rgb="FF800080"/>
      <rgbColor rgb="FF008080"/>
      <rgbColor rgb="FFC6ECC6"/>
      <rgbColor rgb="FF888888"/>
      <rgbColor rgb="FFF9F0FC"/>
      <rgbColor rgb="FF7B2D8B"/>
      <rgbColor rgb="FFFFF2CC"/>
      <rgbColor rgb="FFEEF4FB"/>
      <rgbColor rgb="FF4A0060"/>
      <rgbColor rgb="FFFF8080"/>
      <rgbColor rgb="FF0066CC"/>
      <rgbColor rgb="FFD6E4F0"/>
      <rgbColor rgb="FF000080"/>
      <rgbColor rgb="FFFF00FF"/>
      <rgbColor rgb="FFFFF8E7"/>
      <rgbColor rgb="FF00FFFF"/>
      <rgbColor rgb="FF800080"/>
      <rgbColor rgb="FF800000"/>
      <rgbColor rgb="FF008080"/>
      <rgbColor rgb="FF0000FF"/>
      <rgbColor rgb="FF00CCFF"/>
      <rgbColor rgb="FFF0F4FA"/>
      <rgbColor rgb="FFD4EFDF"/>
      <rgbColor rgb="FFFDEBD7"/>
      <rgbColor rgb="FFF2F2F2"/>
      <rgbColor rgb="FFFDDCDC"/>
      <rgbColor rgb="FFFDEDEC"/>
      <rgbColor rgb="FFFFE4B5"/>
      <rgbColor rgb="FF2E75B6"/>
      <rgbColor rgb="FF33CCCC"/>
      <rgbColor rgb="FF99CC00"/>
      <rgbColor rgb="FFF9F9F9"/>
      <rgbColor rgb="FFFF9900"/>
      <rgbColor rgb="FFFF6600"/>
      <rgbColor rgb="FF555555"/>
      <rgbColor rgb="FFAAAAAA"/>
      <rgbColor rgb="FF1F3864"/>
      <rgbColor rgb="FF339966"/>
      <rgbColor rgb="FF1A5C1A"/>
      <rgbColor rgb="FF444444"/>
      <rgbColor rgb="FF9933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E37"/>
  <sheetViews>
    <sheetView topLeftCell="A21" zoomScaleNormal="100" workbookViewId="0">
      <selection activeCell="B38" sqref="B38"/>
    </sheetView>
  </sheetViews>
  <sheetFormatPr baseColWidth="10" defaultColWidth="8.83203125" defaultRowHeight="19"/>
  <cols>
    <col min="1" max="1" width="26" style="10" customWidth="1"/>
    <col min="2" max="2" width="52" style="10" customWidth="1"/>
    <col min="3" max="3" width="36" style="10" customWidth="1"/>
    <col min="4" max="4" width="9" style="10" customWidth="1"/>
    <col min="5" max="5" width="11" style="10" customWidth="1"/>
    <col min="6" max="16384" width="8.83203125" style="10"/>
  </cols>
  <sheetData>
    <row r="1" spans="1:5">
      <c r="A1" s="70" t="s">
        <v>70</v>
      </c>
      <c r="B1" s="60"/>
      <c r="C1" s="60"/>
      <c r="D1" s="60"/>
      <c r="E1" s="60"/>
    </row>
    <row r="2" spans="1:5">
      <c r="A2" s="52" t="s">
        <v>71</v>
      </c>
      <c r="B2" s="60"/>
      <c r="C2" s="60"/>
      <c r="D2" s="60"/>
      <c r="E2" s="60"/>
    </row>
    <row r="3" spans="1:5">
      <c r="A3" s="71" t="s">
        <v>2</v>
      </c>
      <c r="B3" s="71" t="s">
        <v>3</v>
      </c>
      <c r="C3" s="71" t="s">
        <v>4</v>
      </c>
      <c r="D3" s="71" t="s">
        <v>5</v>
      </c>
      <c r="E3" s="71" t="s">
        <v>6</v>
      </c>
    </row>
    <row r="4" spans="1:5">
      <c r="A4" s="72" t="s">
        <v>72</v>
      </c>
      <c r="B4" s="73"/>
      <c r="C4" s="74"/>
      <c r="D4" s="75">
        <v>45</v>
      </c>
      <c r="E4" s="76"/>
    </row>
    <row r="5" spans="1:5" ht="57">
      <c r="A5" s="77" t="s">
        <v>73</v>
      </c>
      <c r="B5" s="78" t="s">
        <v>74</v>
      </c>
      <c r="C5" s="79" t="s">
        <v>75</v>
      </c>
      <c r="D5" s="80">
        <v>25</v>
      </c>
      <c r="E5" s="81" t="s">
        <v>11</v>
      </c>
    </row>
    <row r="6" spans="1:5" ht="38">
      <c r="A6" s="82" t="s">
        <v>73</v>
      </c>
      <c r="B6" s="83" t="s">
        <v>76</v>
      </c>
      <c r="C6" s="84" t="s">
        <v>77</v>
      </c>
      <c r="D6" s="85">
        <v>5</v>
      </c>
      <c r="E6" s="81" t="s">
        <v>11</v>
      </c>
    </row>
    <row r="7" spans="1:5" ht="38">
      <c r="A7" s="77" t="s">
        <v>73</v>
      </c>
      <c r="B7" s="78" t="s">
        <v>78</v>
      </c>
      <c r="C7" s="79" t="s">
        <v>77</v>
      </c>
      <c r="D7" s="80">
        <v>7</v>
      </c>
      <c r="E7" s="81" t="s">
        <v>11</v>
      </c>
    </row>
    <row r="8" spans="1:5" ht="38">
      <c r="A8" s="82" t="s">
        <v>73</v>
      </c>
      <c r="B8" s="83" t="s">
        <v>79</v>
      </c>
      <c r="C8" s="84" t="s">
        <v>80</v>
      </c>
      <c r="D8" s="85">
        <v>8</v>
      </c>
      <c r="E8" s="86" t="s">
        <v>15</v>
      </c>
    </row>
    <row r="9" spans="1:5">
      <c r="A9" s="72" t="s">
        <v>81</v>
      </c>
      <c r="B9" s="73"/>
      <c r="C9" s="74"/>
      <c r="D9" s="75">
        <v>15</v>
      </c>
      <c r="E9" s="76"/>
    </row>
    <row r="10" spans="1:5" ht="38">
      <c r="A10" s="77" t="s">
        <v>82</v>
      </c>
      <c r="B10" s="78" t="s">
        <v>83</v>
      </c>
      <c r="C10" s="79" t="s">
        <v>84</v>
      </c>
      <c r="D10" s="80">
        <v>6</v>
      </c>
      <c r="E10" s="81" t="s">
        <v>11</v>
      </c>
    </row>
    <row r="11" spans="1:5" ht="38">
      <c r="A11" s="82" t="s">
        <v>82</v>
      </c>
      <c r="B11" s="83" t="s">
        <v>85</v>
      </c>
      <c r="C11" s="84" t="s">
        <v>86</v>
      </c>
      <c r="D11" s="85">
        <v>7</v>
      </c>
      <c r="E11" s="81" t="s">
        <v>11</v>
      </c>
    </row>
    <row r="12" spans="1:5" ht="38">
      <c r="A12" s="77" t="s">
        <v>82</v>
      </c>
      <c r="B12" s="78" t="s">
        <v>87</v>
      </c>
      <c r="C12" s="79" t="s">
        <v>77</v>
      </c>
      <c r="D12" s="80">
        <v>2</v>
      </c>
      <c r="E12" s="81" t="s">
        <v>11</v>
      </c>
    </row>
    <row r="13" spans="1:5">
      <c r="A13" s="72" t="s">
        <v>88</v>
      </c>
      <c r="B13" s="73"/>
      <c r="C13" s="74"/>
      <c r="D13" s="75">
        <v>15</v>
      </c>
      <c r="E13" s="76"/>
    </row>
    <row r="14" spans="1:5" ht="38">
      <c r="A14" s="82" t="s">
        <v>89</v>
      </c>
      <c r="B14" s="83" t="s">
        <v>90</v>
      </c>
      <c r="C14" s="84" t="s">
        <v>77</v>
      </c>
      <c r="D14" s="85">
        <v>8</v>
      </c>
      <c r="E14" s="81" t="s">
        <v>11</v>
      </c>
    </row>
    <row r="15" spans="1:5" ht="38">
      <c r="A15" s="77" t="s">
        <v>89</v>
      </c>
      <c r="B15" s="78" t="s">
        <v>91</v>
      </c>
      <c r="C15" s="79" t="s">
        <v>77</v>
      </c>
      <c r="D15" s="80">
        <v>4</v>
      </c>
      <c r="E15" s="81" t="s">
        <v>11</v>
      </c>
    </row>
    <row r="16" spans="1:5" ht="57">
      <c r="A16" s="82" t="s">
        <v>89</v>
      </c>
      <c r="B16" s="83" t="s">
        <v>92</v>
      </c>
      <c r="C16" s="84" t="s">
        <v>77</v>
      </c>
      <c r="D16" s="85">
        <v>3</v>
      </c>
      <c r="E16" s="87" t="s">
        <v>22</v>
      </c>
    </row>
    <row r="17" spans="1:5">
      <c r="A17" s="72" t="s">
        <v>93</v>
      </c>
      <c r="B17" s="73"/>
      <c r="C17" s="74"/>
      <c r="D17" s="75">
        <v>12</v>
      </c>
      <c r="E17" s="76"/>
    </row>
    <row r="18" spans="1:5" ht="57">
      <c r="A18" s="77" t="s">
        <v>94</v>
      </c>
      <c r="B18" s="78" t="s">
        <v>95</v>
      </c>
      <c r="C18" s="79" t="s">
        <v>77</v>
      </c>
      <c r="D18" s="80">
        <v>5</v>
      </c>
      <c r="E18" s="81" t="s">
        <v>11</v>
      </c>
    </row>
    <row r="19" spans="1:5" ht="38">
      <c r="A19" s="82" t="s">
        <v>94</v>
      </c>
      <c r="B19" s="83" t="s">
        <v>96</v>
      </c>
      <c r="C19" s="84" t="s">
        <v>97</v>
      </c>
      <c r="D19" s="85">
        <v>4</v>
      </c>
      <c r="E19" s="81" t="s">
        <v>11</v>
      </c>
    </row>
    <row r="20" spans="1:5" ht="38">
      <c r="A20" s="77" t="s">
        <v>94</v>
      </c>
      <c r="B20" s="78" t="s">
        <v>98</v>
      </c>
      <c r="C20" s="79" t="s">
        <v>77</v>
      </c>
      <c r="D20" s="80">
        <v>3</v>
      </c>
      <c r="E20" s="81" t="s">
        <v>11</v>
      </c>
    </row>
    <row r="21" spans="1:5">
      <c r="A21" s="72" t="s">
        <v>99</v>
      </c>
      <c r="B21" s="73"/>
      <c r="C21" s="74"/>
      <c r="D21" s="75">
        <v>8</v>
      </c>
      <c r="E21" s="76"/>
    </row>
    <row r="22" spans="1:5" ht="38">
      <c r="A22" s="82" t="s">
        <v>100</v>
      </c>
      <c r="B22" s="83" t="s">
        <v>101</v>
      </c>
      <c r="C22" s="84" t="s">
        <v>77</v>
      </c>
      <c r="D22" s="85">
        <v>5</v>
      </c>
      <c r="E22" s="81" t="s">
        <v>11</v>
      </c>
    </row>
    <row r="23" spans="1:5" ht="38">
      <c r="A23" s="77" t="s">
        <v>100</v>
      </c>
      <c r="B23" s="78" t="s">
        <v>102</v>
      </c>
      <c r="C23" s="79" t="s">
        <v>77</v>
      </c>
      <c r="D23" s="80">
        <v>2</v>
      </c>
      <c r="E23" s="87" t="s">
        <v>22</v>
      </c>
    </row>
    <row r="24" spans="1:5" ht="38">
      <c r="A24" s="82" t="s">
        <v>100</v>
      </c>
      <c r="B24" s="83" t="s">
        <v>103</v>
      </c>
      <c r="C24" s="84" t="s">
        <v>77</v>
      </c>
      <c r="D24" s="85">
        <v>1</v>
      </c>
      <c r="E24" s="81" t="s">
        <v>11</v>
      </c>
    </row>
    <row r="25" spans="1:5">
      <c r="A25" s="72" t="s">
        <v>104</v>
      </c>
      <c r="B25" s="73"/>
      <c r="C25" s="74"/>
      <c r="D25" s="75">
        <v>5</v>
      </c>
      <c r="E25" s="76"/>
    </row>
    <row r="26" spans="1:5" ht="38">
      <c r="A26" s="77" t="s">
        <v>105</v>
      </c>
      <c r="B26" s="78" t="s">
        <v>106</v>
      </c>
      <c r="C26" s="79" t="s">
        <v>77</v>
      </c>
      <c r="D26" s="80">
        <v>3</v>
      </c>
      <c r="E26" s="81" t="s">
        <v>11</v>
      </c>
    </row>
    <row r="27" spans="1:5" ht="38">
      <c r="A27" s="82" t="s">
        <v>105</v>
      </c>
      <c r="B27" s="83" t="s">
        <v>107</v>
      </c>
      <c r="C27" s="84" t="s">
        <v>77</v>
      </c>
      <c r="D27" s="85">
        <v>2</v>
      </c>
      <c r="E27" s="87" t="s">
        <v>22</v>
      </c>
    </row>
    <row r="28" spans="1:5">
      <c r="A28" s="88" t="s">
        <v>61</v>
      </c>
      <c r="B28" s="73"/>
      <c r="C28" s="74"/>
      <c r="D28" s="89">
        <f>D5+D6+D7+D8+D10+D11+D12+D14+D15+D16+D18+D19+D20+D22+D23+D24+D26+D27</f>
        <v>100</v>
      </c>
      <c r="E28" s="90"/>
    </row>
    <row r="30" spans="1:5">
      <c r="A30" s="91" t="s">
        <v>108</v>
      </c>
      <c r="B30" s="73"/>
      <c r="C30" s="73"/>
      <c r="D30" s="73"/>
      <c r="E30" s="74"/>
    </row>
    <row r="31" spans="1:5">
      <c r="A31" s="92" t="s">
        <v>109</v>
      </c>
      <c r="B31" s="93" t="s">
        <v>110</v>
      </c>
      <c r="C31" s="73"/>
      <c r="D31" s="73"/>
      <c r="E31" s="74"/>
    </row>
    <row r="32" spans="1:5">
      <c r="A32" s="94" t="s">
        <v>111</v>
      </c>
      <c r="B32" s="95" t="s">
        <v>112</v>
      </c>
      <c r="C32" s="73"/>
      <c r="D32" s="73"/>
      <c r="E32" s="74"/>
    </row>
    <row r="33" spans="1:5">
      <c r="A33" s="96" t="s">
        <v>113</v>
      </c>
      <c r="B33" s="97" t="s">
        <v>114</v>
      </c>
      <c r="C33" s="73"/>
      <c r="D33" s="73"/>
      <c r="E33" s="74"/>
    </row>
    <row r="34" spans="1:5">
      <c r="A34" s="98"/>
      <c r="B34" s="99"/>
      <c r="C34" s="100"/>
      <c r="D34" s="100"/>
      <c r="E34" s="101"/>
    </row>
    <row r="37" spans="1:5" s="102" customFormat="1" ht="18">
      <c r="B37" s="103"/>
    </row>
  </sheetData>
  <mergeCells count="13">
    <mergeCell ref="A2:E2"/>
    <mergeCell ref="A17:C17"/>
    <mergeCell ref="A9:C9"/>
    <mergeCell ref="B33:E33"/>
    <mergeCell ref="A1:E1"/>
    <mergeCell ref="A21:C21"/>
    <mergeCell ref="A4:C4"/>
    <mergeCell ref="B32:E32"/>
    <mergeCell ref="A30:E30"/>
    <mergeCell ref="B31:E31"/>
    <mergeCell ref="A28:C28"/>
    <mergeCell ref="A25:C25"/>
    <mergeCell ref="A13:C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opLeftCell="A18" workbookViewId="0">
      <selection activeCell="A26" sqref="A26:XFD26"/>
    </sheetView>
  </sheetViews>
  <sheetFormatPr baseColWidth="10" defaultColWidth="8.83203125" defaultRowHeight="18"/>
  <cols>
    <col min="1" max="1" width="26" style="22" customWidth="1"/>
    <col min="2" max="2" width="52" style="22" customWidth="1"/>
    <col min="3" max="3" width="40" style="22" customWidth="1"/>
    <col min="4" max="4" width="9" style="22" customWidth="1"/>
    <col min="5" max="5" width="11" style="22" customWidth="1"/>
    <col min="6" max="6" width="8.83203125" style="22" customWidth="1"/>
    <col min="7" max="16384" width="8.83203125" style="22"/>
  </cols>
  <sheetData>
    <row r="1" spans="1:5">
      <c r="A1" s="48" t="s">
        <v>116</v>
      </c>
      <c r="B1" s="43"/>
      <c r="C1" s="43"/>
      <c r="D1" s="43"/>
      <c r="E1" s="44"/>
    </row>
    <row r="2" spans="1:5">
      <c r="A2" s="46" t="s">
        <v>117</v>
      </c>
      <c r="B2" s="43"/>
      <c r="C2" s="43"/>
      <c r="D2" s="43"/>
      <c r="E2" s="44"/>
    </row>
    <row r="3" spans="1:5" ht="19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s="45" t="s">
        <v>118</v>
      </c>
      <c r="B4" s="43"/>
      <c r="C4" s="43"/>
      <c r="D4" s="43"/>
      <c r="E4" s="44"/>
    </row>
    <row r="5" spans="1:5" ht="57" customHeight="1">
      <c r="A5" s="23" t="s">
        <v>119</v>
      </c>
      <c r="B5" s="24" t="s">
        <v>120</v>
      </c>
      <c r="C5" s="25" t="s">
        <v>121</v>
      </c>
      <c r="D5" s="26">
        <v>15</v>
      </c>
      <c r="E5" s="27" t="s">
        <v>11</v>
      </c>
    </row>
    <row r="6" spans="1:5" ht="57" customHeight="1">
      <c r="A6" s="28" t="s">
        <v>122</v>
      </c>
      <c r="B6" s="29" t="s">
        <v>123</v>
      </c>
      <c r="C6" s="25" t="s">
        <v>124</v>
      </c>
      <c r="D6" s="30">
        <v>10</v>
      </c>
      <c r="E6" s="27" t="s">
        <v>11</v>
      </c>
    </row>
    <row r="7" spans="1:5">
      <c r="A7" s="45" t="s">
        <v>125</v>
      </c>
      <c r="B7" s="43"/>
      <c r="C7" s="43"/>
      <c r="D7" s="43"/>
      <c r="E7" s="44"/>
    </row>
    <row r="8" spans="1:5" ht="57" customHeight="1">
      <c r="A8" s="23" t="s">
        <v>126</v>
      </c>
      <c r="B8" s="24" t="s">
        <v>127</v>
      </c>
      <c r="C8" s="25" t="s">
        <v>128</v>
      </c>
      <c r="D8" s="26">
        <v>12</v>
      </c>
      <c r="E8" s="27" t="s">
        <v>11</v>
      </c>
    </row>
    <row r="9" spans="1:5" ht="57" customHeight="1">
      <c r="A9" s="28" t="s">
        <v>129</v>
      </c>
      <c r="B9" s="29" t="s">
        <v>130</v>
      </c>
      <c r="C9" s="25" t="s">
        <v>131</v>
      </c>
      <c r="D9" s="30">
        <v>8</v>
      </c>
      <c r="E9" s="27" t="s">
        <v>22</v>
      </c>
    </row>
    <row r="10" spans="1:5" ht="57" customHeight="1">
      <c r="A10" s="23" t="s">
        <v>132</v>
      </c>
      <c r="B10" s="24" t="s">
        <v>133</v>
      </c>
      <c r="C10" s="25" t="s">
        <v>134</v>
      </c>
      <c r="D10" s="26">
        <v>5</v>
      </c>
      <c r="E10" s="27" t="s">
        <v>15</v>
      </c>
    </row>
    <row r="11" spans="1:5">
      <c r="A11" s="45" t="s">
        <v>135</v>
      </c>
      <c r="B11" s="43"/>
      <c r="C11" s="43"/>
      <c r="D11" s="43"/>
      <c r="E11" s="44"/>
    </row>
    <row r="12" spans="1:5" ht="57" customHeight="1">
      <c r="A12" s="28" t="s">
        <v>136</v>
      </c>
      <c r="B12" s="29" t="s">
        <v>137</v>
      </c>
      <c r="C12" s="25" t="s">
        <v>138</v>
      </c>
      <c r="D12" s="30">
        <v>10</v>
      </c>
      <c r="E12" s="27" t="s">
        <v>11</v>
      </c>
    </row>
    <row r="13" spans="1:5" ht="38" customHeight="1">
      <c r="A13" s="23" t="s">
        <v>139</v>
      </c>
      <c r="B13" s="24" t="s">
        <v>140</v>
      </c>
      <c r="C13" s="25" t="s">
        <v>141</v>
      </c>
      <c r="D13" s="26">
        <v>6</v>
      </c>
      <c r="E13" s="27" t="s">
        <v>11</v>
      </c>
    </row>
    <row r="14" spans="1:5" ht="57" customHeight="1">
      <c r="A14" s="28" t="s">
        <v>142</v>
      </c>
      <c r="B14" s="29" t="s">
        <v>143</v>
      </c>
      <c r="C14" s="25" t="s">
        <v>144</v>
      </c>
      <c r="D14" s="30">
        <v>4</v>
      </c>
      <c r="E14" s="27" t="s">
        <v>11</v>
      </c>
    </row>
    <row r="15" spans="1:5">
      <c r="A15" s="45" t="s">
        <v>88</v>
      </c>
      <c r="B15" s="43"/>
      <c r="C15" s="43"/>
      <c r="D15" s="43"/>
      <c r="E15" s="44"/>
    </row>
    <row r="16" spans="1:5" ht="57" customHeight="1">
      <c r="A16" s="23" t="s">
        <v>145</v>
      </c>
      <c r="B16" s="24" t="s">
        <v>146</v>
      </c>
      <c r="C16" s="25" t="s">
        <v>147</v>
      </c>
      <c r="D16" s="26">
        <v>8</v>
      </c>
      <c r="E16" s="27" t="s">
        <v>22</v>
      </c>
    </row>
    <row r="17" spans="1:5" ht="57" customHeight="1">
      <c r="A17" s="28" t="s">
        <v>148</v>
      </c>
      <c r="B17" s="29" t="s">
        <v>149</v>
      </c>
      <c r="C17" s="25" t="s">
        <v>150</v>
      </c>
      <c r="D17" s="30">
        <v>4</v>
      </c>
      <c r="E17" s="27" t="s">
        <v>11</v>
      </c>
    </row>
    <row r="18" spans="1:5" ht="57" customHeight="1">
      <c r="A18" s="23" t="s">
        <v>151</v>
      </c>
      <c r="B18" s="24" t="s">
        <v>152</v>
      </c>
      <c r="C18" s="25" t="s">
        <v>153</v>
      </c>
      <c r="D18" s="26">
        <v>3</v>
      </c>
      <c r="E18" s="27" t="s">
        <v>11</v>
      </c>
    </row>
    <row r="19" spans="1:5">
      <c r="A19" s="45" t="s">
        <v>154</v>
      </c>
      <c r="B19" s="43"/>
      <c r="C19" s="43"/>
      <c r="D19" s="43"/>
      <c r="E19" s="44"/>
    </row>
    <row r="20" spans="1:5" ht="57" customHeight="1">
      <c r="A20" s="28" t="s">
        <v>155</v>
      </c>
      <c r="B20" s="29" t="s">
        <v>156</v>
      </c>
      <c r="C20" s="25" t="s">
        <v>157</v>
      </c>
      <c r="D20" s="30">
        <v>6</v>
      </c>
      <c r="E20" s="27" t="s">
        <v>11</v>
      </c>
    </row>
    <row r="21" spans="1:5" ht="57" customHeight="1">
      <c r="A21" s="23" t="s">
        <v>158</v>
      </c>
      <c r="B21" s="24" t="s">
        <v>159</v>
      </c>
      <c r="C21" s="25" t="s">
        <v>160</v>
      </c>
      <c r="D21" s="26">
        <v>4</v>
      </c>
      <c r="E21" s="27" t="s">
        <v>22</v>
      </c>
    </row>
    <row r="22" spans="1:5">
      <c r="A22" s="45" t="s">
        <v>161</v>
      </c>
      <c r="B22" s="43"/>
      <c r="C22" s="43"/>
      <c r="D22" s="43"/>
      <c r="E22" s="44"/>
    </row>
    <row r="23" spans="1:5" ht="38" customHeight="1">
      <c r="A23" s="28" t="s">
        <v>162</v>
      </c>
      <c r="B23" s="29" t="s">
        <v>163</v>
      </c>
      <c r="C23" s="25" t="s">
        <v>164</v>
      </c>
      <c r="D23" s="30">
        <v>3</v>
      </c>
      <c r="E23" s="27" t="s">
        <v>11</v>
      </c>
    </row>
    <row r="24" spans="1:5" ht="57" customHeight="1">
      <c r="A24" s="23" t="s">
        <v>165</v>
      </c>
      <c r="B24" s="24" t="s">
        <v>166</v>
      </c>
      <c r="C24" s="25" t="s">
        <v>167</v>
      </c>
      <c r="D24" s="26">
        <v>2</v>
      </c>
      <c r="E24" s="27" t="s">
        <v>11</v>
      </c>
    </row>
    <row r="25" spans="1:5">
      <c r="A25" s="42" t="s">
        <v>61</v>
      </c>
      <c r="B25" s="43"/>
      <c r="C25" s="44"/>
      <c r="D25" s="21">
        <v>100</v>
      </c>
      <c r="E25" s="31"/>
    </row>
    <row r="26" spans="1:5">
      <c r="A26" s="51" t="s">
        <v>62</v>
      </c>
      <c r="B26" s="43"/>
      <c r="C26" s="43"/>
      <c r="D26" s="43"/>
      <c r="E26" s="44"/>
    </row>
    <row r="27" spans="1:5" ht="19" customHeight="1">
      <c r="A27" s="26" t="s">
        <v>63</v>
      </c>
      <c r="B27" s="47" t="s">
        <v>168</v>
      </c>
      <c r="C27" s="43"/>
      <c r="D27" s="43"/>
      <c r="E27" s="44"/>
    </row>
    <row r="28" spans="1:5" ht="19" customHeight="1">
      <c r="A28" s="26" t="s">
        <v>65</v>
      </c>
      <c r="B28" s="47" t="s">
        <v>169</v>
      </c>
      <c r="C28" s="43"/>
      <c r="D28" s="43"/>
      <c r="E28" s="44"/>
    </row>
    <row r="29" spans="1:5" ht="19" customHeight="1">
      <c r="A29" s="26" t="s">
        <v>67</v>
      </c>
      <c r="B29" s="47" t="s">
        <v>170</v>
      </c>
      <c r="C29" s="43"/>
      <c r="D29" s="43"/>
      <c r="E29" s="44"/>
    </row>
    <row r="30" spans="1:5">
      <c r="A30" s="49" t="s">
        <v>171</v>
      </c>
      <c r="B30" s="43"/>
      <c r="C30" s="43"/>
      <c r="D30" s="43"/>
      <c r="E30" s="44"/>
    </row>
  </sheetData>
  <mergeCells count="14">
    <mergeCell ref="A1:E1"/>
    <mergeCell ref="B28:E28"/>
    <mergeCell ref="A22:E22"/>
    <mergeCell ref="A2:E2"/>
    <mergeCell ref="A15:E15"/>
    <mergeCell ref="A7:E7"/>
    <mergeCell ref="A19:E19"/>
    <mergeCell ref="A11:E11"/>
    <mergeCell ref="A30:E30"/>
    <mergeCell ref="A25:C25"/>
    <mergeCell ref="B27:E27"/>
    <mergeCell ref="A4:E4"/>
    <mergeCell ref="A26:E26"/>
    <mergeCell ref="B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E36"/>
  <sheetViews>
    <sheetView topLeftCell="A27" zoomScaleNormal="100" workbookViewId="0">
      <selection activeCell="A36" sqref="A36:XFD36"/>
    </sheetView>
  </sheetViews>
  <sheetFormatPr baseColWidth="10" defaultColWidth="8.83203125" defaultRowHeight="19"/>
  <cols>
    <col min="1" max="1" width="28" style="10" customWidth="1"/>
    <col min="2" max="2" width="52" style="10" customWidth="1"/>
    <col min="3" max="3" width="38" style="10" customWidth="1"/>
    <col min="4" max="4" width="9" style="10" customWidth="1"/>
    <col min="5" max="5" width="11" style="10" customWidth="1"/>
    <col min="6" max="16384" width="8.83203125" style="10"/>
  </cols>
  <sheetData>
    <row r="1" spans="1:5">
      <c r="A1" s="104" t="s">
        <v>172</v>
      </c>
      <c r="B1" s="60"/>
      <c r="C1" s="60"/>
      <c r="D1" s="60"/>
      <c r="E1" s="60"/>
    </row>
    <row r="2" spans="1:5">
      <c r="A2" s="52" t="s">
        <v>173</v>
      </c>
      <c r="B2" s="60"/>
      <c r="C2" s="60"/>
      <c r="D2" s="60"/>
      <c r="E2" s="60"/>
    </row>
    <row r="3" spans="1:5">
      <c r="A3" s="89" t="s">
        <v>2</v>
      </c>
      <c r="B3" s="89" t="s">
        <v>3</v>
      </c>
      <c r="C3" s="89" t="s">
        <v>4</v>
      </c>
      <c r="D3" s="89" t="s">
        <v>5</v>
      </c>
      <c r="E3" s="89" t="s">
        <v>6</v>
      </c>
    </row>
    <row r="4" spans="1:5">
      <c r="A4" s="72" t="s">
        <v>174</v>
      </c>
      <c r="B4" s="73"/>
      <c r="C4" s="74"/>
      <c r="D4" s="75">
        <v>35</v>
      </c>
      <c r="E4" s="76"/>
    </row>
    <row r="5" spans="1:5" ht="76">
      <c r="A5" s="105" t="s">
        <v>73</v>
      </c>
      <c r="B5" s="106" t="s">
        <v>175</v>
      </c>
      <c r="C5" s="107" t="s">
        <v>176</v>
      </c>
      <c r="D5" s="80">
        <v>20</v>
      </c>
      <c r="E5" s="81" t="s">
        <v>11</v>
      </c>
    </row>
    <row r="6" spans="1:5" ht="57">
      <c r="A6" s="108" t="s">
        <v>73</v>
      </c>
      <c r="B6" s="109" t="s">
        <v>177</v>
      </c>
      <c r="C6" s="110" t="s">
        <v>178</v>
      </c>
      <c r="D6" s="85">
        <v>7</v>
      </c>
      <c r="E6" s="81" t="s">
        <v>11</v>
      </c>
    </row>
    <row r="7" spans="1:5" ht="76">
      <c r="A7" s="105" t="s">
        <v>73</v>
      </c>
      <c r="B7" s="106" t="s">
        <v>179</v>
      </c>
      <c r="C7" s="107" t="s">
        <v>180</v>
      </c>
      <c r="D7" s="80">
        <v>8</v>
      </c>
      <c r="E7" s="81" t="s">
        <v>11</v>
      </c>
    </row>
    <row r="8" spans="1:5">
      <c r="A8" s="72" t="s">
        <v>181</v>
      </c>
      <c r="B8" s="73"/>
      <c r="C8" s="74"/>
      <c r="D8" s="75">
        <v>18</v>
      </c>
      <c r="E8" s="76"/>
    </row>
    <row r="9" spans="1:5" ht="57">
      <c r="A9" s="108" t="s">
        <v>182</v>
      </c>
      <c r="B9" s="109" t="s">
        <v>183</v>
      </c>
      <c r="C9" s="110" t="s">
        <v>184</v>
      </c>
      <c r="D9" s="85">
        <v>8</v>
      </c>
      <c r="E9" s="86" t="s">
        <v>15</v>
      </c>
    </row>
    <row r="10" spans="1:5" ht="57">
      <c r="A10" s="105" t="s">
        <v>182</v>
      </c>
      <c r="B10" s="106" t="s">
        <v>185</v>
      </c>
      <c r="C10" s="107" t="s">
        <v>186</v>
      </c>
      <c r="D10" s="80">
        <v>10</v>
      </c>
      <c r="E10" s="86" t="s">
        <v>15</v>
      </c>
    </row>
    <row r="11" spans="1:5">
      <c r="A11" s="72" t="s">
        <v>187</v>
      </c>
      <c r="B11" s="73"/>
      <c r="C11" s="74"/>
      <c r="D11" s="75">
        <v>15</v>
      </c>
      <c r="E11" s="76"/>
    </row>
    <row r="12" spans="1:5" ht="57">
      <c r="A12" s="108" t="s">
        <v>188</v>
      </c>
      <c r="B12" s="109" t="s">
        <v>189</v>
      </c>
      <c r="C12" s="110" t="s">
        <v>190</v>
      </c>
      <c r="D12" s="85">
        <v>6</v>
      </c>
      <c r="E12" s="81" t="s">
        <v>11</v>
      </c>
    </row>
    <row r="13" spans="1:5" ht="57">
      <c r="A13" s="105" t="s">
        <v>188</v>
      </c>
      <c r="B13" s="106" t="s">
        <v>191</v>
      </c>
      <c r="C13" s="107" t="s">
        <v>192</v>
      </c>
      <c r="D13" s="80">
        <v>5</v>
      </c>
      <c r="E13" s="81" t="s">
        <v>11</v>
      </c>
    </row>
    <row r="14" spans="1:5" ht="76">
      <c r="A14" s="108" t="s">
        <v>188</v>
      </c>
      <c r="B14" s="109" t="s">
        <v>193</v>
      </c>
      <c r="C14" s="110" t="s">
        <v>194</v>
      </c>
      <c r="D14" s="85">
        <v>4</v>
      </c>
      <c r="E14" s="81" t="s">
        <v>11</v>
      </c>
    </row>
    <row r="15" spans="1:5">
      <c r="A15" s="72" t="s">
        <v>195</v>
      </c>
      <c r="B15" s="73"/>
      <c r="C15" s="74"/>
      <c r="D15" s="75">
        <v>15</v>
      </c>
      <c r="E15" s="76"/>
    </row>
    <row r="16" spans="1:5" ht="76">
      <c r="A16" s="105" t="s">
        <v>196</v>
      </c>
      <c r="B16" s="106" t="s">
        <v>197</v>
      </c>
      <c r="C16" s="107" t="s">
        <v>198</v>
      </c>
      <c r="D16" s="80">
        <v>10</v>
      </c>
      <c r="E16" s="87" t="s">
        <v>22</v>
      </c>
    </row>
    <row r="17" spans="1:5" ht="57">
      <c r="A17" s="108" t="s">
        <v>196</v>
      </c>
      <c r="B17" s="109" t="s">
        <v>199</v>
      </c>
      <c r="C17" s="110" t="s">
        <v>200</v>
      </c>
      <c r="D17" s="85">
        <v>5</v>
      </c>
      <c r="E17" s="81" t="s">
        <v>11</v>
      </c>
    </row>
    <row r="18" spans="1:5">
      <c r="A18" s="72" t="s">
        <v>201</v>
      </c>
      <c r="B18" s="73"/>
      <c r="C18" s="74"/>
      <c r="D18" s="75">
        <v>10</v>
      </c>
      <c r="E18" s="76"/>
    </row>
    <row r="19" spans="1:5" ht="57">
      <c r="A19" s="105" t="s">
        <v>105</v>
      </c>
      <c r="B19" s="106" t="s">
        <v>202</v>
      </c>
      <c r="C19" s="107" t="s">
        <v>203</v>
      </c>
      <c r="D19" s="80">
        <v>4</v>
      </c>
      <c r="E19" s="81" t="s">
        <v>11</v>
      </c>
    </row>
    <row r="20" spans="1:5" ht="57">
      <c r="A20" s="108" t="s">
        <v>105</v>
      </c>
      <c r="B20" s="109" t="s">
        <v>204</v>
      </c>
      <c r="C20" s="110" t="s">
        <v>205</v>
      </c>
      <c r="D20" s="85">
        <v>4</v>
      </c>
      <c r="E20" s="81" t="s">
        <v>11</v>
      </c>
    </row>
    <row r="21" spans="1:5" ht="57">
      <c r="A21" s="105" t="s">
        <v>105</v>
      </c>
      <c r="B21" s="106" t="s">
        <v>206</v>
      </c>
      <c r="C21" s="107" t="s">
        <v>207</v>
      </c>
      <c r="D21" s="80">
        <v>2</v>
      </c>
      <c r="E21" s="81" t="s">
        <v>11</v>
      </c>
    </row>
    <row r="22" spans="1:5">
      <c r="A22" s="72" t="s">
        <v>208</v>
      </c>
      <c r="B22" s="73"/>
      <c r="C22" s="74"/>
      <c r="D22" s="75">
        <v>7</v>
      </c>
      <c r="E22" s="76"/>
    </row>
    <row r="23" spans="1:5" ht="76">
      <c r="A23" s="108" t="s">
        <v>209</v>
      </c>
      <c r="B23" s="109" t="s">
        <v>210</v>
      </c>
      <c r="C23" s="110" t="s">
        <v>211</v>
      </c>
      <c r="D23" s="85">
        <v>3</v>
      </c>
      <c r="E23" s="81" t="s">
        <v>11</v>
      </c>
    </row>
    <row r="24" spans="1:5" ht="57">
      <c r="A24" s="105" t="s">
        <v>209</v>
      </c>
      <c r="B24" s="106" t="s">
        <v>212</v>
      </c>
      <c r="C24" s="107" t="s">
        <v>213</v>
      </c>
      <c r="D24" s="80">
        <v>2</v>
      </c>
      <c r="E24" s="81" t="s">
        <v>11</v>
      </c>
    </row>
    <row r="25" spans="1:5" ht="76">
      <c r="A25" s="108" t="s">
        <v>209</v>
      </c>
      <c r="B25" s="109" t="s">
        <v>214</v>
      </c>
      <c r="C25" s="110" t="s">
        <v>215</v>
      </c>
      <c r="D25" s="85">
        <v>2</v>
      </c>
      <c r="E25" s="87" t="s">
        <v>22</v>
      </c>
    </row>
    <row r="26" spans="1:5">
      <c r="A26" s="88" t="s">
        <v>61</v>
      </c>
      <c r="B26" s="73"/>
      <c r="C26" s="74"/>
      <c r="D26" s="89">
        <f>D5+D6+D7+D9+D10+D12+D13+D14+D16+D17+D19+D20+D21+D23+D24+D25</f>
        <v>100</v>
      </c>
      <c r="E26" s="90"/>
    </row>
    <row r="28" spans="1:5">
      <c r="A28" s="91" t="s">
        <v>108</v>
      </c>
      <c r="B28" s="73"/>
      <c r="C28" s="73"/>
      <c r="D28" s="73"/>
      <c r="E28" s="74"/>
    </row>
    <row r="29" spans="1:5">
      <c r="A29" s="92" t="s">
        <v>109</v>
      </c>
      <c r="B29" s="93" t="s">
        <v>216</v>
      </c>
      <c r="C29" s="73"/>
      <c r="D29" s="73"/>
      <c r="E29" s="74"/>
    </row>
    <row r="30" spans="1:5">
      <c r="A30" s="94" t="s">
        <v>111</v>
      </c>
      <c r="B30" s="95" t="s">
        <v>217</v>
      </c>
      <c r="C30" s="73"/>
      <c r="D30" s="73"/>
      <c r="E30" s="74"/>
    </row>
    <row r="31" spans="1:5">
      <c r="A31" s="96" t="s">
        <v>113</v>
      </c>
      <c r="B31" s="97" t="s">
        <v>218</v>
      </c>
      <c r="C31" s="73"/>
      <c r="D31" s="73"/>
      <c r="E31" s="74"/>
    </row>
    <row r="32" spans="1:5">
      <c r="A32" s="98"/>
      <c r="B32" s="99"/>
      <c r="C32" s="100"/>
      <c r="D32" s="100"/>
      <c r="E32" s="101"/>
    </row>
    <row r="36" spans="2:2" s="102" customFormat="1" ht="18">
      <c r="B36" s="103"/>
    </row>
  </sheetData>
  <mergeCells count="13">
    <mergeCell ref="A1:E1"/>
    <mergeCell ref="A15:C15"/>
    <mergeCell ref="A4:C4"/>
    <mergeCell ref="A26:C26"/>
    <mergeCell ref="B31:E31"/>
    <mergeCell ref="A11:C11"/>
    <mergeCell ref="A2:E2"/>
    <mergeCell ref="A28:E28"/>
    <mergeCell ref="A8:C8"/>
    <mergeCell ref="B30:E30"/>
    <mergeCell ref="A22:C22"/>
    <mergeCell ref="B29:E29"/>
    <mergeCell ref="A18:C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topLeftCell="A19" workbookViewId="0">
      <selection activeCell="A26" sqref="A26:XFD26"/>
    </sheetView>
  </sheetViews>
  <sheetFormatPr baseColWidth="10" defaultColWidth="8.83203125" defaultRowHeight="18"/>
  <cols>
    <col min="1" max="1" width="26" style="22" customWidth="1"/>
    <col min="2" max="2" width="52" style="22" customWidth="1"/>
    <col min="3" max="3" width="40" style="22" customWidth="1"/>
    <col min="4" max="4" width="9" style="22" customWidth="1"/>
    <col min="5" max="5" width="11" style="22" customWidth="1"/>
    <col min="6" max="6" width="8.83203125" style="22" customWidth="1"/>
    <col min="7" max="16384" width="8.83203125" style="22"/>
  </cols>
  <sheetData>
    <row r="1" spans="1:5">
      <c r="A1" s="48" t="s">
        <v>0</v>
      </c>
      <c r="B1" s="43"/>
      <c r="C1" s="43"/>
      <c r="D1" s="43"/>
      <c r="E1" s="44"/>
    </row>
    <row r="2" spans="1:5">
      <c r="A2" s="46" t="s">
        <v>1</v>
      </c>
      <c r="B2" s="43"/>
      <c r="C2" s="43"/>
      <c r="D2" s="43"/>
      <c r="E2" s="44"/>
    </row>
    <row r="3" spans="1:5" ht="19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s="45" t="s">
        <v>7</v>
      </c>
      <c r="B4" s="43"/>
      <c r="C4" s="43"/>
      <c r="D4" s="43"/>
      <c r="E4" s="44"/>
    </row>
    <row r="5" spans="1:5" ht="57" customHeight="1">
      <c r="A5" s="23" t="s">
        <v>8</v>
      </c>
      <c r="B5" s="24" t="s">
        <v>9</v>
      </c>
      <c r="C5" s="25" t="s">
        <v>10</v>
      </c>
      <c r="D5" s="26">
        <v>10</v>
      </c>
      <c r="E5" s="27" t="s">
        <v>11</v>
      </c>
    </row>
    <row r="6" spans="1:5" ht="76" customHeight="1">
      <c r="A6" s="28" t="s">
        <v>12</v>
      </c>
      <c r="B6" s="29" t="s">
        <v>13</v>
      </c>
      <c r="C6" s="25" t="s">
        <v>14</v>
      </c>
      <c r="D6" s="30">
        <v>10</v>
      </c>
      <c r="E6" s="27" t="s">
        <v>15</v>
      </c>
    </row>
    <row r="7" spans="1:5" ht="57" customHeight="1">
      <c r="A7" s="23" t="s">
        <v>16</v>
      </c>
      <c r="B7" s="24" t="s">
        <v>17</v>
      </c>
      <c r="C7" s="25" t="s">
        <v>18</v>
      </c>
      <c r="D7" s="26">
        <v>6</v>
      </c>
      <c r="E7" s="27" t="s">
        <v>11</v>
      </c>
    </row>
    <row r="8" spans="1:5" ht="57" customHeight="1">
      <c r="A8" s="28" t="s">
        <v>19</v>
      </c>
      <c r="B8" s="29" t="s">
        <v>20</v>
      </c>
      <c r="C8" s="25" t="s">
        <v>21</v>
      </c>
      <c r="D8" s="30">
        <v>4</v>
      </c>
      <c r="E8" s="27" t="s">
        <v>22</v>
      </c>
    </row>
    <row r="9" spans="1:5">
      <c r="A9" s="45" t="s">
        <v>23</v>
      </c>
      <c r="B9" s="43"/>
      <c r="C9" s="43"/>
      <c r="D9" s="43"/>
      <c r="E9" s="44"/>
    </row>
    <row r="10" spans="1:5" ht="95" customHeight="1">
      <c r="A10" s="23" t="s">
        <v>24</v>
      </c>
      <c r="B10" s="24" t="s">
        <v>25</v>
      </c>
      <c r="C10" s="25" t="s">
        <v>26</v>
      </c>
      <c r="D10" s="26">
        <v>12</v>
      </c>
      <c r="E10" s="27" t="s">
        <v>11</v>
      </c>
    </row>
    <row r="11" spans="1:5" ht="76" customHeight="1">
      <c r="A11" s="28" t="s">
        <v>27</v>
      </c>
      <c r="B11" s="29" t="s">
        <v>28</v>
      </c>
      <c r="C11" s="25" t="s">
        <v>29</v>
      </c>
      <c r="D11" s="30">
        <v>8</v>
      </c>
      <c r="E11" s="27" t="s">
        <v>11</v>
      </c>
    </row>
    <row r="12" spans="1:5">
      <c r="A12" s="45" t="s">
        <v>30</v>
      </c>
      <c r="B12" s="43"/>
      <c r="C12" s="43"/>
      <c r="D12" s="43"/>
      <c r="E12" s="44"/>
    </row>
    <row r="13" spans="1:5" ht="95" customHeight="1">
      <c r="A13" s="23" t="s">
        <v>31</v>
      </c>
      <c r="B13" s="24" t="s">
        <v>32</v>
      </c>
      <c r="C13" s="25" t="s">
        <v>33</v>
      </c>
      <c r="D13" s="26">
        <v>12</v>
      </c>
      <c r="E13" s="27" t="s">
        <v>11</v>
      </c>
    </row>
    <row r="14" spans="1:5" ht="76" customHeight="1">
      <c r="A14" s="28" t="s">
        <v>34</v>
      </c>
      <c r="B14" s="29" t="s">
        <v>35</v>
      </c>
      <c r="C14" s="25" t="s">
        <v>36</v>
      </c>
      <c r="D14" s="30">
        <v>5</v>
      </c>
      <c r="E14" s="27" t="s">
        <v>11</v>
      </c>
    </row>
    <row r="15" spans="1:5" ht="57" customHeight="1">
      <c r="A15" s="23" t="s">
        <v>37</v>
      </c>
      <c r="B15" s="24" t="s">
        <v>38</v>
      </c>
      <c r="C15" s="25" t="s">
        <v>39</v>
      </c>
      <c r="D15" s="26">
        <v>3</v>
      </c>
      <c r="E15" s="27" t="s">
        <v>11</v>
      </c>
    </row>
    <row r="16" spans="1:5">
      <c r="A16" s="45" t="s">
        <v>40</v>
      </c>
      <c r="B16" s="43"/>
      <c r="C16" s="43"/>
      <c r="D16" s="43"/>
      <c r="E16" s="44"/>
    </row>
    <row r="17" spans="1:5" ht="95" customHeight="1">
      <c r="A17" s="28" t="s">
        <v>41</v>
      </c>
      <c r="B17" s="29" t="s">
        <v>42</v>
      </c>
      <c r="C17" s="25" t="s">
        <v>43</v>
      </c>
      <c r="D17" s="30">
        <v>10</v>
      </c>
      <c r="E17" s="27" t="s">
        <v>11</v>
      </c>
    </row>
    <row r="18" spans="1:5" ht="95" customHeight="1">
      <c r="A18" s="23" t="s">
        <v>44</v>
      </c>
      <c r="B18" s="24" t="s">
        <v>45</v>
      </c>
      <c r="C18" s="25" t="s">
        <v>46</v>
      </c>
      <c r="D18" s="26">
        <v>5</v>
      </c>
      <c r="E18" s="27" t="s">
        <v>11</v>
      </c>
    </row>
    <row r="19" spans="1:5">
      <c r="A19" s="45" t="s">
        <v>47</v>
      </c>
      <c r="B19" s="43"/>
      <c r="C19" s="43"/>
      <c r="D19" s="43"/>
      <c r="E19" s="44"/>
    </row>
    <row r="20" spans="1:5" ht="114" customHeight="1">
      <c r="A20" s="28" t="s">
        <v>48</v>
      </c>
      <c r="B20" s="29" t="s">
        <v>49</v>
      </c>
      <c r="C20" s="25" t="s">
        <v>50</v>
      </c>
      <c r="D20" s="30">
        <v>6</v>
      </c>
      <c r="E20" s="27" t="s">
        <v>22</v>
      </c>
    </row>
    <row r="21" spans="1:5" ht="76" customHeight="1">
      <c r="A21" s="23" t="s">
        <v>51</v>
      </c>
      <c r="B21" s="24" t="s">
        <v>52</v>
      </c>
      <c r="C21" s="25" t="s">
        <v>53</v>
      </c>
      <c r="D21" s="26">
        <v>4</v>
      </c>
      <c r="E21" s="27" t="s">
        <v>11</v>
      </c>
    </row>
    <row r="22" spans="1:5">
      <c r="A22" s="45" t="s">
        <v>54</v>
      </c>
      <c r="B22" s="43"/>
      <c r="C22" s="43"/>
      <c r="D22" s="43"/>
      <c r="E22" s="44"/>
    </row>
    <row r="23" spans="1:5" ht="76" customHeight="1">
      <c r="A23" s="23" t="s">
        <v>55</v>
      </c>
      <c r="B23" s="24" t="s">
        <v>56</v>
      </c>
      <c r="C23" s="25" t="s">
        <v>57</v>
      </c>
      <c r="D23" s="26">
        <v>3</v>
      </c>
      <c r="E23" s="27" t="s">
        <v>11</v>
      </c>
    </row>
    <row r="24" spans="1:5" ht="57" customHeight="1">
      <c r="A24" s="28" t="s">
        <v>58</v>
      </c>
      <c r="B24" s="29" t="s">
        <v>59</v>
      </c>
      <c r="C24" s="25" t="s">
        <v>60</v>
      </c>
      <c r="D24" s="30">
        <v>2</v>
      </c>
      <c r="E24" s="27" t="s">
        <v>11</v>
      </c>
    </row>
    <row r="25" spans="1:5">
      <c r="A25" s="42" t="s">
        <v>61</v>
      </c>
      <c r="B25" s="43"/>
      <c r="C25" s="44"/>
      <c r="D25" s="21">
        <v>100</v>
      </c>
      <c r="E25" s="31"/>
    </row>
    <row r="26" spans="1:5">
      <c r="A26" s="50"/>
      <c r="B26" s="43"/>
      <c r="C26" s="44"/>
      <c r="D26" s="32"/>
      <c r="E26" s="33"/>
    </row>
    <row r="27" spans="1:5">
      <c r="A27" s="51" t="s">
        <v>62</v>
      </c>
      <c r="B27" s="43"/>
      <c r="C27" s="43"/>
      <c r="D27" s="43"/>
      <c r="E27" s="44"/>
    </row>
    <row r="28" spans="1:5" ht="19" customHeight="1">
      <c r="A28" s="26" t="s">
        <v>63</v>
      </c>
      <c r="B28" s="47" t="s">
        <v>64</v>
      </c>
      <c r="C28" s="43"/>
      <c r="D28" s="43"/>
      <c r="E28" s="44"/>
    </row>
    <row r="29" spans="1:5" ht="19" customHeight="1">
      <c r="A29" s="26" t="s">
        <v>65</v>
      </c>
      <c r="B29" s="47" t="s">
        <v>66</v>
      </c>
      <c r="C29" s="43"/>
      <c r="D29" s="43"/>
      <c r="E29" s="44"/>
    </row>
    <row r="30" spans="1:5" ht="19" customHeight="1">
      <c r="A30" s="26" t="s">
        <v>67</v>
      </c>
      <c r="B30" s="47" t="s">
        <v>68</v>
      </c>
      <c r="C30" s="43"/>
      <c r="D30" s="43"/>
      <c r="E30" s="44"/>
    </row>
    <row r="31" spans="1:5">
      <c r="A31" s="49" t="s">
        <v>69</v>
      </c>
      <c r="B31" s="43"/>
      <c r="C31" s="43"/>
      <c r="D31" s="43"/>
      <c r="E31" s="44"/>
    </row>
  </sheetData>
  <mergeCells count="15">
    <mergeCell ref="B30:E30"/>
    <mergeCell ref="A19:E19"/>
    <mergeCell ref="B29:E29"/>
    <mergeCell ref="A1:E1"/>
    <mergeCell ref="A31:E31"/>
    <mergeCell ref="B28:E28"/>
    <mergeCell ref="A26:C26"/>
    <mergeCell ref="A9:E9"/>
    <mergeCell ref="A22:E22"/>
    <mergeCell ref="A27:E27"/>
    <mergeCell ref="A25:C25"/>
    <mergeCell ref="A12:E12"/>
    <mergeCell ref="A4:E4"/>
    <mergeCell ref="A2:E2"/>
    <mergeCell ref="A16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E31"/>
  <sheetViews>
    <sheetView topLeftCell="A22" zoomScaleNormal="100" workbookViewId="0">
      <selection activeCell="A32" sqref="A32"/>
    </sheetView>
  </sheetViews>
  <sheetFormatPr baseColWidth="10" defaultColWidth="8.5" defaultRowHeight="19"/>
  <cols>
    <col min="1" max="1" width="22" style="10" customWidth="1"/>
    <col min="2" max="2" width="55" style="10" customWidth="1"/>
    <col min="3" max="3" width="38" style="10" customWidth="1"/>
    <col min="4" max="4" width="6" style="10" customWidth="1"/>
    <col min="5" max="5" width="10" style="10" customWidth="1"/>
    <col min="6" max="7" width="8.5" style="10" customWidth="1"/>
    <col min="8" max="16384" width="8.5" style="10"/>
  </cols>
  <sheetData>
    <row r="1" spans="1:5">
      <c r="A1" s="59" t="s">
        <v>219</v>
      </c>
      <c r="B1" s="60"/>
      <c r="C1" s="60"/>
      <c r="D1" s="60"/>
      <c r="E1" s="60"/>
    </row>
    <row r="2" spans="1:5">
      <c r="A2" s="58" t="s">
        <v>220</v>
      </c>
      <c r="B2" s="111"/>
      <c r="C2" s="111"/>
      <c r="D2" s="111"/>
      <c r="E2" s="111"/>
    </row>
    <row r="3" spans="1: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5">
      <c r="A4" s="56" t="s">
        <v>221</v>
      </c>
      <c r="B4" s="111"/>
      <c r="C4" s="112"/>
      <c r="D4" s="12">
        <v>30</v>
      </c>
      <c r="E4" s="13"/>
    </row>
    <row r="5" spans="1:5" ht="95">
      <c r="A5" s="14" t="s">
        <v>73</v>
      </c>
      <c r="B5" s="14" t="s">
        <v>222</v>
      </c>
      <c r="C5" s="14" t="s">
        <v>223</v>
      </c>
      <c r="D5" s="15">
        <v>15</v>
      </c>
      <c r="E5" s="14" t="s">
        <v>11</v>
      </c>
    </row>
    <row r="6" spans="1:5" ht="95">
      <c r="A6" s="16" t="s">
        <v>73</v>
      </c>
      <c r="B6" s="16" t="s">
        <v>224</v>
      </c>
      <c r="C6" s="16" t="s">
        <v>225</v>
      </c>
      <c r="D6" s="17">
        <v>10</v>
      </c>
      <c r="E6" s="16" t="s">
        <v>11</v>
      </c>
    </row>
    <row r="7" spans="1:5" ht="95">
      <c r="A7" s="14" t="s">
        <v>73</v>
      </c>
      <c r="B7" s="14" t="s">
        <v>226</v>
      </c>
      <c r="C7" s="14" t="s">
        <v>227</v>
      </c>
      <c r="D7" s="15">
        <v>5</v>
      </c>
      <c r="E7" s="14" t="s">
        <v>11</v>
      </c>
    </row>
    <row r="8" spans="1:5">
      <c r="A8" s="56" t="s">
        <v>228</v>
      </c>
      <c r="B8" s="111"/>
      <c r="C8" s="112"/>
      <c r="D8" s="12">
        <v>18</v>
      </c>
      <c r="E8" s="13"/>
    </row>
    <row r="9" spans="1:5" ht="114">
      <c r="A9" s="14" t="s">
        <v>182</v>
      </c>
      <c r="B9" s="14" t="s">
        <v>229</v>
      </c>
      <c r="C9" s="14" t="s">
        <v>230</v>
      </c>
      <c r="D9" s="15">
        <v>8</v>
      </c>
      <c r="E9" s="14" t="s">
        <v>15</v>
      </c>
    </row>
    <row r="10" spans="1:5" ht="95">
      <c r="A10" s="16" t="s">
        <v>182</v>
      </c>
      <c r="B10" s="16" t="s">
        <v>231</v>
      </c>
      <c r="C10" s="16" t="s">
        <v>232</v>
      </c>
      <c r="D10" s="17">
        <v>10</v>
      </c>
      <c r="E10" s="16" t="s">
        <v>15</v>
      </c>
    </row>
    <row r="11" spans="1:5">
      <c r="A11" s="56" t="s">
        <v>233</v>
      </c>
      <c r="B11" s="111"/>
      <c r="C11" s="112"/>
      <c r="D11" s="12">
        <v>20</v>
      </c>
      <c r="E11" s="13"/>
    </row>
    <row r="12" spans="1:5" ht="133">
      <c r="A12" s="14" t="s">
        <v>196</v>
      </c>
      <c r="B12" s="14" t="s">
        <v>234</v>
      </c>
      <c r="C12" s="14" t="s">
        <v>235</v>
      </c>
      <c r="D12" s="15">
        <v>12</v>
      </c>
      <c r="E12" s="14" t="s">
        <v>22</v>
      </c>
    </row>
    <row r="13" spans="1:5" ht="114">
      <c r="A13" s="16" t="s">
        <v>196</v>
      </c>
      <c r="B13" s="16" t="s">
        <v>236</v>
      </c>
      <c r="C13" s="16" t="s">
        <v>237</v>
      </c>
      <c r="D13" s="17">
        <v>6</v>
      </c>
      <c r="E13" s="16" t="s">
        <v>11</v>
      </c>
    </row>
    <row r="14" spans="1:5" ht="133">
      <c r="A14" s="14" t="s">
        <v>196</v>
      </c>
      <c r="B14" s="14" t="s">
        <v>238</v>
      </c>
      <c r="C14" s="14" t="s">
        <v>239</v>
      </c>
      <c r="D14" s="15">
        <v>2</v>
      </c>
      <c r="E14" s="14" t="s">
        <v>11</v>
      </c>
    </row>
    <row r="15" spans="1:5">
      <c r="A15" s="56" t="s">
        <v>240</v>
      </c>
      <c r="B15" s="111"/>
      <c r="C15" s="112"/>
      <c r="D15" s="12">
        <v>12</v>
      </c>
      <c r="E15" s="13"/>
    </row>
    <row r="16" spans="1:5" ht="95">
      <c r="A16" s="14" t="s">
        <v>188</v>
      </c>
      <c r="B16" s="14" t="s">
        <v>241</v>
      </c>
      <c r="C16" s="14" t="s">
        <v>242</v>
      </c>
      <c r="D16" s="15">
        <v>6</v>
      </c>
      <c r="E16" s="14" t="s">
        <v>11</v>
      </c>
    </row>
    <row r="17" spans="1:5" ht="114">
      <c r="A17" s="16" t="s">
        <v>188</v>
      </c>
      <c r="B17" s="16" t="s">
        <v>243</v>
      </c>
      <c r="C17" s="16" t="s">
        <v>244</v>
      </c>
      <c r="D17" s="17">
        <v>4</v>
      </c>
      <c r="E17" s="16" t="s">
        <v>11</v>
      </c>
    </row>
    <row r="18" spans="1:5" ht="95">
      <c r="A18" s="14" t="s">
        <v>188</v>
      </c>
      <c r="B18" s="14" t="s">
        <v>245</v>
      </c>
      <c r="C18" s="14" t="s">
        <v>246</v>
      </c>
      <c r="D18" s="15">
        <v>2</v>
      </c>
      <c r="E18" s="14" t="s">
        <v>11</v>
      </c>
    </row>
    <row r="19" spans="1:5">
      <c r="A19" s="56" t="s">
        <v>247</v>
      </c>
      <c r="B19" s="111"/>
      <c r="C19" s="112"/>
      <c r="D19" s="12">
        <v>10</v>
      </c>
      <c r="E19" s="13"/>
    </row>
    <row r="20" spans="1:5" ht="114">
      <c r="A20" s="14" t="s">
        <v>248</v>
      </c>
      <c r="B20" s="14" t="s">
        <v>249</v>
      </c>
      <c r="C20" s="14" t="s">
        <v>250</v>
      </c>
      <c r="D20" s="15">
        <v>6</v>
      </c>
      <c r="E20" s="14" t="s">
        <v>11</v>
      </c>
    </row>
    <row r="21" spans="1:5" ht="152">
      <c r="A21" s="16" t="s">
        <v>248</v>
      </c>
      <c r="B21" s="16" t="s">
        <v>251</v>
      </c>
      <c r="C21" s="16" t="s">
        <v>252</v>
      </c>
      <c r="D21" s="17">
        <v>4</v>
      </c>
      <c r="E21" s="16" t="s">
        <v>11</v>
      </c>
    </row>
    <row r="22" spans="1:5">
      <c r="A22" s="56" t="s">
        <v>253</v>
      </c>
      <c r="B22" s="111"/>
      <c r="C22" s="112"/>
      <c r="D22" s="12">
        <v>10</v>
      </c>
      <c r="E22" s="13"/>
    </row>
    <row r="23" spans="1:5" ht="114">
      <c r="A23" s="14" t="s">
        <v>105</v>
      </c>
      <c r="B23" s="14" t="s">
        <v>254</v>
      </c>
      <c r="C23" s="14" t="s">
        <v>255</v>
      </c>
      <c r="D23" s="15">
        <v>6</v>
      </c>
      <c r="E23" s="14" t="s">
        <v>11</v>
      </c>
    </row>
    <row r="24" spans="1:5" ht="133">
      <c r="A24" s="16" t="s">
        <v>105</v>
      </c>
      <c r="B24" s="16" t="s">
        <v>256</v>
      </c>
      <c r="C24" s="16" t="s">
        <v>257</v>
      </c>
      <c r="D24" s="17">
        <v>4</v>
      </c>
      <c r="E24" s="16" t="s">
        <v>11</v>
      </c>
    </row>
    <row r="25" spans="1:5">
      <c r="A25" s="53" t="s">
        <v>61</v>
      </c>
      <c r="B25" s="111"/>
      <c r="C25" s="112"/>
      <c r="D25" s="18">
        <v>100</v>
      </c>
      <c r="E25" s="19"/>
    </row>
    <row r="26" spans="1:5">
      <c r="A26" s="57" t="s">
        <v>108</v>
      </c>
      <c r="B26" s="111"/>
      <c r="C26" s="111"/>
      <c r="D26" s="111"/>
      <c r="E26" s="111"/>
    </row>
    <row r="27" spans="1:5">
      <c r="A27" s="113" t="s">
        <v>109</v>
      </c>
      <c r="B27" s="114" t="s">
        <v>258</v>
      </c>
      <c r="C27" s="111"/>
      <c r="D27" s="111"/>
      <c r="E27" s="111"/>
    </row>
    <row r="28" spans="1:5">
      <c r="A28" s="115" t="s">
        <v>111</v>
      </c>
      <c r="B28" s="116" t="s">
        <v>259</v>
      </c>
      <c r="C28" s="111"/>
      <c r="D28" s="111"/>
      <c r="E28" s="111"/>
    </row>
    <row r="29" spans="1:5">
      <c r="A29" s="117" t="s">
        <v>113</v>
      </c>
      <c r="B29" s="118" t="s">
        <v>260</v>
      </c>
      <c r="C29" s="111"/>
      <c r="D29" s="111"/>
      <c r="E29" s="111"/>
    </row>
    <row r="30" spans="1:5">
      <c r="A30" s="119"/>
      <c r="B30" s="120"/>
      <c r="C30" s="121"/>
      <c r="D30" s="121"/>
      <c r="E30" s="121"/>
    </row>
    <row r="31" spans="1:5">
      <c r="A31" s="20"/>
      <c r="B31" s="20"/>
    </row>
  </sheetData>
  <mergeCells count="13">
    <mergeCell ref="A2:E2"/>
    <mergeCell ref="A8:C8"/>
    <mergeCell ref="A22:C22"/>
    <mergeCell ref="B29:E29"/>
    <mergeCell ref="A1:E1"/>
    <mergeCell ref="A15:C15"/>
    <mergeCell ref="A4:C4"/>
    <mergeCell ref="B28:E28"/>
    <mergeCell ref="A25:C25"/>
    <mergeCell ref="B27:E27"/>
    <mergeCell ref="A19:C19"/>
    <mergeCell ref="A11:C11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topLeftCell="A20" workbookViewId="0">
      <selection activeCell="A25" sqref="A25:XFD25"/>
    </sheetView>
  </sheetViews>
  <sheetFormatPr baseColWidth="10" defaultColWidth="8.83203125" defaultRowHeight="18"/>
  <cols>
    <col min="1" max="1" width="26" style="22" customWidth="1"/>
    <col min="2" max="2" width="52" style="22" customWidth="1"/>
    <col min="3" max="3" width="40" style="22" customWidth="1"/>
    <col min="4" max="4" width="9" style="22" customWidth="1"/>
    <col min="5" max="5" width="11" style="22" customWidth="1"/>
    <col min="6" max="6" width="8.83203125" style="22" customWidth="1"/>
    <col min="7" max="16384" width="8.83203125" style="22"/>
  </cols>
  <sheetData>
    <row r="1" spans="1:5">
      <c r="A1" s="48" t="s">
        <v>261</v>
      </c>
      <c r="B1" s="43"/>
      <c r="C1" s="43"/>
      <c r="D1" s="43"/>
      <c r="E1" s="44"/>
    </row>
    <row r="2" spans="1:5">
      <c r="A2" s="46" t="s">
        <v>262</v>
      </c>
      <c r="B2" s="43"/>
      <c r="C2" s="43"/>
      <c r="D2" s="43"/>
      <c r="E2" s="44"/>
    </row>
    <row r="3" spans="1:5" ht="19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s="45" t="s">
        <v>263</v>
      </c>
      <c r="B4" s="43"/>
      <c r="C4" s="43"/>
      <c r="D4" s="43"/>
      <c r="E4" s="44"/>
    </row>
    <row r="5" spans="1:5" ht="95" customHeight="1">
      <c r="A5" s="23" t="s">
        <v>264</v>
      </c>
      <c r="B5" s="24" t="s">
        <v>265</v>
      </c>
      <c r="C5" s="25" t="s">
        <v>266</v>
      </c>
      <c r="D5" s="26">
        <v>15</v>
      </c>
      <c r="E5" s="27" t="s">
        <v>11</v>
      </c>
    </row>
    <row r="6" spans="1:5" ht="76" customHeight="1">
      <c r="A6" s="28" t="s">
        <v>34</v>
      </c>
      <c r="B6" s="29" t="s">
        <v>267</v>
      </c>
      <c r="C6" s="25" t="s">
        <v>268</v>
      </c>
      <c r="D6" s="30">
        <v>10</v>
      </c>
      <c r="E6" s="27" t="s">
        <v>11</v>
      </c>
    </row>
    <row r="7" spans="1:5" ht="95" customHeight="1">
      <c r="A7" s="23" t="s">
        <v>269</v>
      </c>
      <c r="B7" s="24" t="s">
        <v>270</v>
      </c>
      <c r="C7" s="25" t="s">
        <v>271</v>
      </c>
      <c r="D7" s="26">
        <v>5</v>
      </c>
      <c r="E7" s="27" t="s">
        <v>11</v>
      </c>
    </row>
    <row r="8" spans="1:5">
      <c r="A8" s="45" t="s">
        <v>272</v>
      </c>
      <c r="B8" s="43"/>
      <c r="C8" s="43"/>
      <c r="D8" s="43"/>
      <c r="E8" s="44"/>
    </row>
    <row r="9" spans="1:5" ht="95" customHeight="1">
      <c r="A9" s="28" t="s">
        <v>273</v>
      </c>
      <c r="B9" s="29" t="s">
        <v>274</v>
      </c>
      <c r="C9" s="25" t="s">
        <v>275</v>
      </c>
      <c r="D9" s="30">
        <v>12</v>
      </c>
      <c r="E9" s="27" t="s">
        <v>15</v>
      </c>
    </row>
    <row r="10" spans="1:5" ht="57" customHeight="1">
      <c r="A10" s="23" t="s">
        <v>276</v>
      </c>
      <c r="B10" s="24" t="s">
        <v>277</v>
      </c>
      <c r="C10" s="25" t="s">
        <v>278</v>
      </c>
      <c r="D10" s="26">
        <v>8</v>
      </c>
      <c r="E10" s="27" t="s">
        <v>15</v>
      </c>
    </row>
    <row r="11" spans="1:5">
      <c r="A11" s="45" t="s">
        <v>279</v>
      </c>
      <c r="B11" s="43"/>
      <c r="C11" s="43"/>
      <c r="D11" s="43"/>
      <c r="E11" s="44"/>
    </row>
    <row r="12" spans="1:5" ht="114" customHeight="1">
      <c r="A12" s="28" t="s">
        <v>280</v>
      </c>
      <c r="B12" s="29" t="s">
        <v>281</v>
      </c>
      <c r="C12" s="25" t="s">
        <v>282</v>
      </c>
      <c r="D12" s="30">
        <v>10</v>
      </c>
      <c r="E12" s="27" t="s">
        <v>22</v>
      </c>
    </row>
    <row r="13" spans="1:5" ht="95" customHeight="1">
      <c r="A13" s="23" t="s">
        <v>283</v>
      </c>
      <c r="B13" s="24" t="s">
        <v>284</v>
      </c>
      <c r="C13" s="25" t="s">
        <v>285</v>
      </c>
      <c r="D13" s="26">
        <v>6</v>
      </c>
      <c r="E13" s="27" t="s">
        <v>11</v>
      </c>
    </row>
    <row r="14" spans="1:5" ht="95" customHeight="1">
      <c r="A14" s="23" t="s">
        <v>286</v>
      </c>
      <c r="B14" s="24" t="s">
        <v>287</v>
      </c>
      <c r="C14" s="25" t="s">
        <v>288</v>
      </c>
      <c r="D14" s="26">
        <v>4</v>
      </c>
      <c r="E14" s="27" t="s">
        <v>11</v>
      </c>
    </row>
    <row r="15" spans="1:5">
      <c r="A15" s="45" t="s">
        <v>289</v>
      </c>
      <c r="B15" s="43"/>
      <c r="C15" s="43"/>
      <c r="D15" s="43"/>
      <c r="E15" s="44"/>
    </row>
    <row r="16" spans="1:5" ht="114" customHeight="1">
      <c r="A16" s="28" t="s">
        <v>290</v>
      </c>
      <c r="B16" s="29" t="s">
        <v>291</v>
      </c>
      <c r="C16" s="25" t="s">
        <v>292</v>
      </c>
      <c r="D16" s="30">
        <v>10</v>
      </c>
      <c r="E16" s="27" t="s">
        <v>11</v>
      </c>
    </row>
    <row r="17" spans="1:5" ht="114" customHeight="1">
      <c r="A17" s="23" t="s">
        <v>293</v>
      </c>
      <c r="B17" s="24" t="s">
        <v>294</v>
      </c>
      <c r="C17" s="25" t="s">
        <v>295</v>
      </c>
      <c r="D17" s="26">
        <v>5</v>
      </c>
      <c r="E17" s="27" t="s">
        <v>11</v>
      </c>
    </row>
    <row r="18" spans="1:5">
      <c r="A18" s="45" t="s">
        <v>296</v>
      </c>
      <c r="B18" s="43"/>
      <c r="C18" s="43"/>
      <c r="D18" s="43"/>
      <c r="E18" s="44"/>
    </row>
    <row r="19" spans="1:5" ht="114" customHeight="1">
      <c r="A19" s="28" t="s">
        <v>297</v>
      </c>
      <c r="B19" s="29" t="s">
        <v>298</v>
      </c>
      <c r="C19" s="25" t="s">
        <v>299</v>
      </c>
      <c r="D19" s="30">
        <v>6</v>
      </c>
      <c r="E19" s="27" t="s">
        <v>22</v>
      </c>
    </row>
    <row r="20" spans="1:5" ht="114" customHeight="1">
      <c r="A20" s="23" t="s">
        <v>300</v>
      </c>
      <c r="B20" s="24" t="s">
        <v>301</v>
      </c>
      <c r="C20" s="25" t="s">
        <v>302</v>
      </c>
      <c r="D20" s="26">
        <v>4</v>
      </c>
      <c r="E20" s="27" t="s">
        <v>11</v>
      </c>
    </row>
    <row r="21" spans="1:5">
      <c r="A21" s="45" t="s">
        <v>54</v>
      </c>
      <c r="B21" s="43"/>
      <c r="C21" s="43"/>
      <c r="D21" s="43"/>
      <c r="E21" s="44"/>
    </row>
    <row r="22" spans="1:5" ht="76" customHeight="1">
      <c r="A22" s="23" t="s">
        <v>303</v>
      </c>
      <c r="B22" s="24" t="s">
        <v>304</v>
      </c>
      <c r="C22" s="25" t="s">
        <v>305</v>
      </c>
      <c r="D22" s="26">
        <v>3</v>
      </c>
      <c r="E22" s="27" t="s">
        <v>11</v>
      </c>
    </row>
    <row r="23" spans="1:5" ht="76" customHeight="1">
      <c r="A23" s="28" t="s">
        <v>306</v>
      </c>
      <c r="B23" s="29" t="s">
        <v>307</v>
      </c>
      <c r="C23" s="25" t="s">
        <v>308</v>
      </c>
      <c r="D23" s="30">
        <v>2</v>
      </c>
      <c r="E23" s="27" t="s">
        <v>11</v>
      </c>
    </row>
    <row r="24" spans="1:5">
      <c r="A24" s="42" t="s">
        <v>61</v>
      </c>
      <c r="B24" s="43"/>
      <c r="C24" s="44"/>
      <c r="D24" s="21">
        <v>100</v>
      </c>
      <c r="E24" s="31"/>
    </row>
    <row r="25" spans="1:5">
      <c r="A25" s="50"/>
      <c r="B25" s="43"/>
      <c r="C25" s="44"/>
      <c r="D25" s="32"/>
      <c r="E25" s="33"/>
    </row>
    <row r="26" spans="1:5">
      <c r="A26" s="51" t="s">
        <v>62</v>
      </c>
      <c r="B26" s="43"/>
      <c r="C26" s="43"/>
      <c r="D26" s="43"/>
      <c r="E26" s="44"/>
    </row>
    <row r="27" spans="1:5" ht="19" customHeight="1">
      <c r="A27" s="26" t="s">
        <v>63</v>
      </c>
      <c r="B27" s="47" t="s">
        <v>309</v>
      </c>
      <c r="C27" s="43"/>
      <c r="D27" s="43"/>
      <c r="E27" s="44"/>
    </row>
    <row r="28" spans="1:5" ht="19" customHeight="1">
      <c r="A28" s="26" t="s">
        <v>65</v>
      </c>
      <c r="B28" s="47" t="s">
        <v>310</v>
      </c>
      <c r="C28" s="43"/>
      <c r="D28" s="43"/>
      <c r="E28" s="44"/>
    </row>
    <row r="29" spans="1:5" ht="19" customHeight="1">
      <c r="A29" s="26" t="s">
        <v>67</v>
      </c>
      <c r="B29" s="47" t="s">
        <v>311</v>
      </c>
      <c r="C29" s="43"/>
      <c r="D29" s="43"/>
      <c r="E29" s="44"/>
    </row>
    <row r="30" spans="1:5">
      <c r="A30" s="49" t="s">
        <v>312</v>
      </c>
      <c r="B30" s="43"/>
      <c r="C30" s="43"/>
      <c r="D30" s="43"/>
      <c r="E30" s="44"/>
    </row>
  </sheetData>
  <mergeCells count="15">
    <mergeCell ref="A2:E2"/>
    <mergeCell ref="A15:E15"/>
    <mergeCell ref="A11:E11"/>
    <mergeCell ref="B29:E29"/>
    <mergeCell ref="A1:E1"/>
    <mergeCell ref="A24:C24"/>
    <mergeCell ref="A8:E8"/>
    <mergeCell ref="B28:E28"/>
    <mergeCell ref="A18:E18"/>
    <mergeCell ref="A30:E30"/>
    <mergeCell ref="A25:C25"/>
    <mergeCell ref="A21:E21"/>
    <mergeCell ref="B27:E27"/>
    <mergeCell ref="A4:E4"/>
    <mergeCell ref="A26:E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E39"/>
  <sheetViews>
    <sheetView topLeftCell="A27" zoomScaleNormal="100" workbookViewId="0">
      <selection activeCell="A39" sqref="A39"/>
    </sheetView>
  </sheetViews>
  <sheetFormatPr baseColWidth="10" defaultColWidth="8.83203125" defaultRowHeight="19"/>
  <cols>
    <col min="1" max="1" width="28" style="10" customWidth="1"/>
    <col min="2" max="2" width="52" style="10" customWidth="1"/>
    <col min="3" max="3" width="38" style="10" customWidth="1"/>
    <col min="4" max="4" width="9" style="10" customWidth="1"/>
    <col min="5" max="5" width="11" style="10" customWidth="1"/>
    <col min="6" max="16384" width="8.83203125" style="10"/>
  </cols>
  <sheetData>
    <row r="1" spans="1:5">
      <c r="A1" s="122" t="s">
        <v>313</v>
      </c>
      <c r="B1" s="60"/>
      <c r="C1" s="60"/>
      <c r="D1" s="60"/>
      <c r="E1" s="60"/>
    </row>
    <row r="2" spans="1:5">
      <c r="A2" s="61" t="s">
        <v>314</v>
      </c>
      <c r="B2" s="60"/>
      <c r="C2" s="60"/>
      <c r="D2" s="60"/>
      <c r="E2" s="60"/>
    </row>
    <row r="3" spans="1:5">
      <c r="A3" s="123" t="s">
        <v>2</v>
      </c>
      <c r="B3" s="123" t="s">
        <v>3</v>
      </c>
      <c r="C3" s="123" t="s">
        <v>4</v>
      </c>
      <c r="D3" s="123" t="s">
        <v>5</v>
      </c>
      <c r="E3" s="123" t="s">
        <v>6</v>
      </c>
    </row>
    <row r="4" spans="1:5">
      <c r="A4" s="124" t="s">
        <v>315</v>
      </c>
      <c r="B4" s="73"/>
      <c r="C4" s="74"/>
      <c r="D4" s="123">
        <v>15</v>
      </c>
      <c r="E4" s="125"/>
    </row>
    <row r="5" spans="1:5" ht="95">
      <c r="A5" s="126" t="s">
        <v>316</v>
      </c>
      <c r="B5" s="106" t="s">
        <v>317</v>
      </c>
      <c r="C5" s="107" t="s">
        <v>318</v>
      </c>
      <c r="D5" s="127">
        <v>10</v>
      </c>
      <c r="E5" s="81" t="s">
        <v>11</v>
      </c>
    </row>
    <row r="6" spans="1:5" ht="95">
      <c r="A6" s="128" t="s">
        <v>316</v>
      </c>
      <c r="B6" s="109" t="s">
        <v>319</v>
      </c>
      <c r="C6" s="110" t="s">
        <v>320</v>
      </c>
      <c r="D6" s="129">
        <v>5</v>
      </c>
      <c r="E6" s="81" t="s">
        <v>11</v>
      </c>
    </row>
    <row r="7" spans="1:5">
      <c r="A7" s="124" t="s">
        <v>321</v>
      </c>
      <c r="B7" s="73"/>
      <c r="C7" s="74"/>
      <c r="D7" s="123">
        <v>25</v>
      </c>
      <c r="E7" s="125"/>
    </row>
    <row r="8" spans="1:5" ht="76">
      <c r="A8" s="126" t="s">
        <v>322</v>
      </c>
      <c r="B8" s="106" t="s">
        <v>323</v>
      </c>
      <c r="C8" s="107" t="s">
        <v>324</v>
      </c>
      <c r="D8" s="127">
        <v>5</v>
      </c>
      <c r="E8" s="81" t="s">
        <v>11</v>
      </c>
    </row>
    <row r="9" spans="1:5" ht="57">
      <c r="A9" s="128" t="s">
        <v>322</v>
      </c>
      <c r="B9" s="109" t="s">
        <v>325</v>
      </c>
      <c r="C9" s="110" t="s">
        <v>326</v>
      </c>
      <c r="D9" s="129">
        <v>5</v>
      </c>
      <c r="E9" s="81" t="s">
        <v>11</v>
      </c>
    </row>
    <row r="10" spans="1:5" ht="57">
      <c r="A10" s="126" t="s">
        <v>322</v>
      </c>
      <c r="B10" s="106" t="s">
        <v>327</v>
      </c>
      <c r="C10" s="107" t="s">
        <v>328</v>
      </c>
      <c r="D10" s="127">
        <v>5</v>
      </c>
      <c r="E10" s="81" t="s">
        <v>11</v>
      </c>
    </row>
    <row r="11" spans="1:5" ht="76">
      <c r="A11" s="128" t="s">
        <v>322</v>
      </c>
      <c r="B11" s="109" t="s">
        <v>329</v>
      </c>
      <c r="C11" s="110" t="s">
        <v>330</v>
      </c>
      <c r="D11" s="129">
        <v>5</v>
      </c>
      <c r="E11" s="81" t="s">
        <v>11</v>
      </c>
    </row>
    <row r="12" spans="1:5" ht="76">
      <c r="A12" s="126" t="s">
        <v>322</v>
      </c>
      <c r="B12" s="106" t="s">
        <v>331</v>
      </c>
      <c r="C12" s="107" t="s">
        <v>332</v>
      </c>
      <c r="D12" s="127">
        <v>5</v>
      </c>
      <c r="E12" s="81" t="s">
        <v>11</v>
      </c>
    </row>
    <row r="13" spans="1:5">
      <c r="A13" s="124" t="s">
        <v>333</v>
      </c>
      <c r="B13" s="73"/>
      <c r="C13" s="74"/>
      <c r="D13" s="123">
        <v>20</v>
      </c>
      <c r="E13" s="125"/>
    </row>
    <row r="14" spans="1:5" ht="95">
      <c r="A14" s="128" t="s">
        <v>334</v>
      </c>
      <c r="B14" s="109" t="s">
        <v>335</v>
      </c>
      <c r="C14" s="110" t="s">
        <v>336</v>
      </c>
      <c r="D14" s="129">
        <v>12</v>
      </c>
      <c r="E14" s="87" t="s">
        <v>22</v>
      </c>
    </row>
    <row r="15" spans="1:5" ht="95">
      <c r="A15" s="126" t="s">
        <v>334</v>
      </c>
      <c r="B15" s="106" t="s">
        <v>337</v>
      </c>
      <c r="C15" s="107" t="s">
        <v>338</v>
      </c>
      <c r="D15" s="127">
        <v>5</v>
      </c>
      <c r="E15" s="87" t="s">
        <v>22</v>
      </c>
    </row>
    <row r="16" spans="1:5" ht="76">
      <c r="A16" s="128" t="s">
        <v>339</v>
      </c>
      <c r="B16" s="109" t="s">
        <v>340</v>
      </c>
      <c r="C16" s="110" t="s">
        <v>341</v>
      </c>
      <c r="D16" s="129">
        <v>3</v>
      </c>
      <c r="E16" s="87" t="s">
        <v>22</v>
      </c>
    </row>
    <row r="17" spans="1:5">
      <c r="A17" s="124" t="s">
        <v>342</v>
      </c>
      <c r="B17" s="73"/>
      <c r="C17" s="74"/>
      <c r="D17" s="123">
        <v>20</v>
      </c>
      <c r="E17" s="125"/>
    </row>
    <row r="18" spans="1:5" ht="114">
      <c r="A18" s="126" t="s">
        <v>343</v>
      </c>
      <c r="B18" s="106" t="s">
        <v>344</v>
      </c>
      <c r="C18" s="107" t="s">
        <v>345</v>
      </c>
      <c r="D18" s="127">
        <v>8</v>
      </c>
      <c r="E18" s="81" t="s">
        <v>11</v>
      </c>
    </row>
    <row r="19" spans="1:5" ht="57">
      <c r="A19" s="128" t="s">
        <v>343</v>
      </c>
      <c r="B19" s="109" t="s">
        <v>346</v>
      </c>
      <c r="C19" s="110" t="s">
        <v>347</v>
      </c>
      <c r="D19" s="129">
        <v>4</v>
      </c>
      <c r="E19" s="81" t="s">
        <v>11</v>
      </c>
    </row>
    <row r="20" spans="1:5" ht="95">
      <c r="A20" s="126" t="s">
        <v>348</v>
      </c>
      <c r="B20" s="106" t="s">
        <v>349</v>
      </c>
      <c r="C20" s="107" t="s">
        <v>350</v>
      </c>
      <c r="D20" s="127">
        <v>4</v>
      </c>
      <c r="E20" s="81" t="s">
        <v>11</v>
      </c>
    </row>
    <row r="21" spans="1:5" ht="95">
      <c r="A21" s="128" t="s">
        <v>348</v>
      </c>
      <c r="B21" s="109" t="s">
        <v>351</v>
      </c>
      <c r="C21" s="110" t="s">
        <v>352</v>
      </c>
      <c r="D21" s="129">
        <v>4</v>
      </c>
      <c r="E21" s="81" t="s">
        <v>11</v>
      </c>
    </row>
    <row r="22" spans="1:5">
      <c r="A22" s="124" t="s">
        <v>353</v>
      </c>
      <c r="B22" s="73"/>
      <c r="C22" s="74"/>
      <c r="D22" s="123">
        <v>10</v>
      </c>
      <c r="E22" s="125"/>
    </row>
    <row r="23" spans="1:5" ht="95">
      <c r="A23" s="126" t="s">
        <v>354</v>
      </c>
      <c r="B23" s="106" t="s">
        <v>355</v>
      </c>
      <c r="C23" s="107" t="s">
        <v>356</v>
      </c>
      <c r="D23" s="127">
        <v>5</v>
      </c>
      <c r="E23" s="81" t="s">
        <v>11</v>
      </c>
    </row>
    <row r="24" spans="1:5" ht="76">
      <c r="A24" s="128" t="s">
        <v>354</v>
      </c>
      <c r="B24" s="109" t="s">
        <v>357</v>
      </c>
      <c r="C24" s="110" t="s">
        <v>358</v>
      </c>
      <c r="D24" s="129">
        <v>3</v>
      </c>
      <c r="E24" s="81" t="s">
        <v>11</v>
      </c>
    </row>
    <row r="25" spans="1:5" ht="57">
      <c r="A25" s="126" t="s">
        <v>354</v>
      </c>
      <c r="B25" s="106" t="s">
        <v>359</v>
      </c>
      <c r="C25" s="107" t="s">
        <v>360</v>
      </c>
      <c r="D25" s="127">
        <v>2</v>
      </c>
      <c r="E25" s="81" t="s">
        <v>11</v>
      </c>
    </row>
    <row r="26" spans="1:5">
      <c r="A26" s="124" t="s">
        <v>361</v>
      </c>
      <c r="B26" s="73"/>
      <c r="C26" s="74"/>
      <c r="D26" s="123">
        <v>10</v>
      </c>
      <c r="E26" s="125"/>
    </row>
    <row r="27" spans="1:5" ht="95">
      <c r="A27" s="128" t="s">
        <v>362</v>
      </c>
      <c r="B27" s="109" t="s">
        <v>363</v>
      </c>
      <c r="C27" s="110" t="s">
        <v>364</v>
      </c>
      <c r="D27" s="129">
        <v>7</v>
      </c>
      <c r="E27" s="81" t="s">
        <v>11</v>
      </c>
    </row>
    <row r="28" spans="1:5" ht="95">
      <c r="A28" s="126" t="s">
        <v>362</v>
      </c>
      <c r="B28" s="106" t="s">
        <v>365</v>
      </c>
      <c r="C28" s="107" t="s">
        <v>366</v>
      </c>
      <c r="D28" s="127">
        <v>3</v>
      </c>
      <c r="E28" s="81" t="s">
        <v>11</v>
      </c>
    </row>
    <row r="29" spans="1:5">
      <c r="A29" s="130" t="s">
        <v>61</v>
      </c>
      <c r="B29" s="73"/>
      <c r="C29" s="74"/>
      <c r="D29" s="123">
        <f>D5+D6+D8+D9+D10+D11+D12+D14+D15+D16+D18+D19+D20+D21+D23+D24+D25+D27+D28</f>
        <v>100</v>
      </c>
      <c r="E29" s="125"/>
    </row>
    <row r="31" spans="1:5">
      <c r="A31" s="124" t="s">
        <v>108</v>
      </c>
      <c r="B31" s="73"/>
      <c r="C31" s="73"/>
      <c r="D31" s="73"/>
      <c r="E31" s="74"/>
    </row>
    <row r="32" spans="1:5">
      <c r="A32" s="92" t="s">
        <v>109</v>
      </c>
      <c r="B32" s="93" t="s">
        <v>367</v>
      </c>
      <c r="C32" s="73"/>
      <c r="D32" s="73"/>
      <c r="E32" s="74"/>
    </row>
    <row r="33" spans="1:5">
      <c r="A33" s="94" t="s">
        <v>111</v>
      </c>
      <c r="B33" s="95" t="s">
        <v>368</v>
      </c>
      <c r="C33" s="73"/>
      <c r="D33" s="73"/>
      <c r="E33" s="74"/>
    </row>
    <row r="34" spans="1:5">
      <c r="A34" s="96" t="s">
        <v>113</v>
      </c>
      <c r="B34" s="97" t="s">
        <v>369</v>
      </c>
      <c r="C34" s="73"/>
      <c r="D34" s="73"/>
      <c r="E34" s="74"/>
    </row>
    <row r="35" spans="1:5">
      <c r="A35" s="98"/>
      <c r="B35" s="99"/>
      <c r="C35" s="100"/>
      <c r="D35" s="100"/>
      <c r="E35" s="101"/>
    </row>
    <row r="37" spans="1:5">
      <c r="A37" s="131" t="s">
        <v>370</v>
      </c>
      <c r="B37" s="73"/>
      <c r="C37" s="73"/>
      <c r="D37" s="73"/>
      <c r="E37" s="74"/>
    </row>
    <row r="39" spans="1:5" s="102" customFormat="1" ht="18">
      <c r="B39" s="103"/>
    </row>
  </sheetData>
  <mergeCells count="14">
    <mergeCell ref="A1:E1"/>
    <mergeCell ref="A37:E37"/>
    <mergeCell ref="A7:C7"/>
    <mergeCell ref="B34:E34"/>
    <mergeCell ref="A29:C29"/>
    <mergeCell ref="A4:C4"/>
    <mergeCell ref="A31:E31"/>
    <mergeCell ref="A26:C26"/>
    <mergeCell ref="B32:E32"/>
    <mergeCell ref="A13:C13"/>
    <mergeCell ref="A2:E2"/>
    <mergeCell ref="A22:C22"/>
    <mergeCell ref="A17:C17"/>
    <mergeCell ref="B33:E3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topLeftCell="A19" workbookViewId="0">
      <selection sqref="A1:XFD1048576"/>
    </sheetView>
  </sheetViews>
  <sheetFormatPr baseColWidth="10" defaultColWidth="8.83203125" defaultRowHeight="18"/>
  <cols>
    <col min="1" max="1" width="26" style="22" customWidth="1"/>
    <col min="2" max="2" width="52" style="22" customWidth="1"/>
    <col min="3" max="3" width="40" style="22" customWidth="1"/>
    <col min="4" max="4" width="9" style="22" customWidth="1"/>
    <col min="5" max="5" width="11" style="22" customWidth="1"/>
    <col min="6" max="6" width="8.83203125" style="22" customWidth="1"/>
    <col min="7" max="16384" width="8.83203125" style="22"/>
  </cols>
  <sheetData>
    <row r="1" spans="1:5">
      <c r="A1" s="48" t="s">
        <v>371</v>
      </c>
      <c r="B1" s="43"/>
      <c r="C1" s="43"/>
      <c r="D1" s="43"/>
      <c r="E1" s="44"/>
    </row>
    <row r="2" spans="1:5">
      <c r="A2" s="46" t="s">
        <v>372</v>
      </c>
      <c r="B2" s="43"/>
      <c r="C2" s="43"/>
      <c r="D2" s="43"/>
      <c r="E2" s="44"/>
    </row>
    <row r="3" spans="1:5" ht="19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s="45" t="s">
        <v>373</v>
      </c>
      <c r="B4" s="43"/>
      <c r="C4" s="43"/>
      <c r="D4" s="43"/>
      <c r="E4" s="44"/>
    </row>
    <row r="5" spans="1:5" ht="133" customHeight="1">
      <c r="A5" s="23" t="s">
        <v>374</v>
      </c>
      <c r="B5" s="24" t="s">
        <v>375</v>
      </c>
      <c r="C5" s="25" t="s">
        <v>376</v>
      </c>
      <c r="D5" s="26">
        <v>20</v>
      </c>
      <c r="E5" s="27" t="s">
        <v>22</v>
      </c>
    </row>
    <row r="6" spans="1:5" ht="95" customHeight="1">
      <c r="A6" s="28" t="s">
        <v>377</v>
      </c>
      <c r="B6" s="29" t="s">
        <v>378</v>
      </c>
      <c r="C6" s="25" t="s">
        <v>379</v>
      </c>
      <c r="D6" s="30">
        <v>10</v>
      </c>
      <c r="E6" s="27" t="s">
        <v>22</v>
      </c>
    </row>
    <row r="7" spans="1:5" ht="114" customHeight="1">
      <c r="A7" s="23" t="s">
        <v>380</v>
      </c>
      <c r="B7" s="24" t="s">
        <v>381</v>
      </c>
      <c r="C7" s="25" t="s">
        <v>382</v>
      </c>
      <c r="D7" s="26">
        <v>5</v>
      </c>
      <c r="E7" s="27" t="s">
        <v>22</v>
      </c>
    </row>
    <row r="8" spans="1:5">
      <c r="A8" s="45" t="s">
        <v>383</v>
      </c>
      <c r="B8" s="43"/>
      <c r="C8" s="43"/>
      <c r="D8" s="43"/>
      <c r="E8" s="44"/>
    </row>
    <row r="9" spans="1:5" ht="95" customHeight="1">
      <c r="A9" s="28" t="s">
        <v>384</v>
      </c>
      <c r="B9" s="29" t="s">
        <v>385</v>
      </c>
      <c r="C9" s="25" t="s">
        <v>386</v>
      </c>
      <c r="D9" s="30">
        <v>15</v>
      </c>
      <c r="E9" s="27" t="s">
        <v>15</v>
      </c>
    </row>
    <row r="10" spans="1:5" ht="114" customHeight="1">
      <c r="A10" s="23" t="s">
        <v>387</v>
      </c>
      <c r="B10" s="24" t="s">
        <v>388</v>
      </c>
      <c r="C10" s="25" t="s">
        <v>389</v>
      </c>
      <c r="D10" s="26">
        <v>10</v>
      </c>
      <c r="E10" s="27" t="s">
        <v>15</v>
      </c>
    </row>
    <row r="11" spans="1:5">
      <c r="A11" s="45" t="s">
        <v>390</v>
      </c>
      <c r="B11" s="43"/>
      <c r="C11" s="43"/>
      <c r="D11" s="43"/>
      <c r="E11" s="44"/>
    </row>
    <row r="12" spans="1:5" ht="114" customHeight="1">
      <c r="A12" s="28" t="s">
        <v>391</v>
      </c>
      <c r="B12" s="29" t="s">
        <v>392</v>
      </c>
      <c r="C12" s="25" t="s">
        <v>393</v>
      </c>
      <c r="D12" s="30">
        <v>12</v>
      </c>
      <c r="E12" s="27" t="s">
        <v>11</v>
      </c>
    </row>
    <row r="13" spans="1:5" ht="76" customHeight="1">
      <c r="A13" s="23" t="s">
        <v>394</v>
      </c>
      <c r="B13" s="24" t="s">
        <v>395</v>
      </c>
      <c r="C13" s="25" t="s">
        <v>396</v>
      </c>
      <c r="D13" s="26">
        <v>8</v>
      </c>
      <c r="E13" s="27" t="s">
        <v>11</v>
      </c>
    </row>
    <row r="14" spans="1:5">
      <c r="A14" s="45" t="s">
        <v>397</v>
      </c>
      <c r="B14" s="43"/>
      <c r="C14" s="43"/>
      <c r="D14" s="43"/>
      <c r="E14" s="44"/>
    </row>
    <row r="15" spans="1:5" ht="114" customHeight="1">
      <c r="A15" s="23" t="s">
        <v>31</v>
      </c>
      <c r="B15" s="24" t="s">
        <v>398</v>
      </c>
      <c r="C15" s="25" t="s">
        <v>399</v>
      </c>
      <c r="D15" s="26">
        <v>6</v>
      </c>
      <c r="E15" s="27" t="s">
        <v>11</v>
      </c>
    </row>
    <row r="16" spans="1:5" ht="114" customHeight="1">
      <c r="A16" s="28" t="s">
        <v>400</v>
      </c>
      <c r="B16" s="29" t="s">
        <v>401</v>
      </c>
      <c r="C16" s="25" t="s">
        <v>402</v>
      </c>
      <c r="D16" s="30">
        <v>4</v>
      </c>
      <c r="E16" s="27" t="s">
        <v>11</v>
      </c>
    </row>
    <row r="17" spans="1:5">
      <c r="A17" s="45" t="s">
        <v>403</v>
      </c>
      <c r="B17" s="43"/>
      <c r="C17" s="43"/>
      <c r="D17" s="43"/>
      <c r="E17" s="44"/>
    </row>
    <row r="18" spans="1:5" ht="114" customHeight="1">
      <c r="A18" s="23" t="s">
        <v>404</v>
      </c>
      <c r="B18" s="24" t="s">
        <v>405</v>
      </c>
      <c r="C18" s="25" t="s">
        <v>406</v>
      </c>
      <c r="D18" s="26">
        <v>3</v>
      </c>
      <c r="E18" s="27" t="s">
        <v>11</v>
      </c>
    </row>
    <row r="19" spans="1:5" ht="95" customHeight="1">
      <c r="A19" s="28" t="s">
        <v>407</v>
      </c>
      <c r="B19" s="29" t="s">
        <v>408</v>
      </c>
      <c r="C19" s="25" t="s">
        <v>409</v>
      </c>
      <c r="D19" s="30">
        <v>2</v>
      </c>
      <c r="E19" s="27" t="s">
        <v>11</v>
      </c>
    </row>
    <row r="20" spans="1:5">
      <c r="A20" s="45" t="s">
        <v>410</v>
      </c>
      <c r="B20" s="43"/>
      <c r="C20" s="43"/>
      <c r="D20" s="43"/>
      <c r="E20" s="44"/>
    </row>
    <row r="21" spans="1:5" ht="95" customHeight="1">
      <c r="A21" s="23" t="s">
        <v>411</v>
      </c>
      <c r="B21" s="24" t="s">
        <v>412</v>
      </c>
      <c r="C21" s="25" t="s">
        <v>413</v>
      </c>
      <c r="D21" s="26">
        <v>3</v>
      </c>
      <c r="E21" s="27" t="s">
        <v>11</v>
      </c>
    </row>
    <row r="22" spans="1:5" ht="95" customHeight="1">
      <c r="A22" s="28" t="s">
        <v>414</v>
      </c>
      <c r="B22" s="29" t="s">
        <v>415</v>
      </c>
      <c r="C22" s="25" t="s">
        <v>416</v>
      </c>
      <c r="D22" s="30">
        <v>2</v>
      </c>
      <c r="E22" s="27" t="s">
        <v>11</v>
      </c>
    </row>
    <row r="23" spans="1:5">
      <c r="A23" s="42" t="s">
        <v>61</v>
      </c>
      <c r="B23" s="43"/>
      <c r="C23" s="44"/>
      <c r="D23" s="21">
        <v>100</v>
      </c>
      <c r="E23" s="31"/>
    </row>
    <row r="24" spans="1:5">
      <c r="A24" s="50" t="s">
        <v>417</v>
      </c>
      <c r="B24" s="43"/>
      <c r="C24" s="44"/>
      <c r="D24" s="32">
        <v>0</v>
      </c>
      <c r="E24" s="33"/>
    </row>
    <row r="25" spans="1:5">
      <c r="A25" s="51" t="s">
        <v>62</v>
      </c>
      <c r="B25" s="43"/>
      <c r="C25" s="43"/>
      <c r="D25" s="43"/>
      <c r="E25" s="44"/>
    </row>
    <row r="26" spans="1:5" ht="19" customHeight="1">
      <c r="A26" s="26" t="s">
        <v>63</v>
      </c>
      <c r="B26" s="47" t="s">
        <v>418</v>
      </c>
      <c r="C26" s="43"/>
      <c r="D26" s="43"/>
      <c r="E26" s="44"/>
    </row>
    <row r="27" spans="1:5" ht="19" customHeight="1">
      <c r="A27" s="26" t="s">
        <v>65</v>
      </c>
      <c r="B27" s="47" t="s">
        <v>419</v>
      </c>
      <c r="C27" s="43"/>
      <c r="D27" s="43"/>
      <c r="E27" s="44"/>
    </row>
    <row r="28" spans="1:5" ht="19" customHeight="1">
      <c r="A28" s="26" t="s">
        <v>67</v>
      </c>
      <c r="B28" s="47" t="s">
        <v>420</v>
      </c>
      <c r="C28" s="43"/>
      <c r="D28" s="43"/>
      <c r="E28" s="44"/>
    </row>
    <row r="29" spans="1:5">
      <c r="A29" s="49" t="s">
        <v>421</v>
      </c>
      <c r="B29" s="43"/>
      <c r="C29" s="43"/>
      <c r="D29" s="43"/>
      <c r="E29" s="44"/>
    </row>
  </sheetData>
  <mergeCells count="15">
    <mergeCell ref="A1:E1"/>
    <mergeCell ref="A14:E14"/>
    <mergeCell ref="B28:E28"/>
    <mergeCell ref="A17:E17"/>
    <mergeCell ref="A24:C24"/>
    <mergeCell ref="A2:E2"/>
    <mergeCell ref="A23:C23"/>
    <mergeCell ref="A25:E25"/>
    <mergeCell ref="A11:E11"/>
    <mergeCell ref="A8:E8"/>
    <mergeCell ref="B26:E26"/>
    <mergeCell ref="A29:E29"/>
    <mergeCell ref="A4:E4"/>
    <mergeCell ref="B27:E27"/>
    <mergeCell ref="A20:E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E33"/>
  <sheetViews>
    <sheetView topLeftCell="A25" zoomScaleNormal="100" workbookViewId="0">
      <selection activeCell="A34" sqref="A34"/>
    </sheetView>
  </sheetViews>
  <sheetFormatPr baseColWidth="10" defaultColWidth="8.5" defaultRowHeight="19"/>
  <cols>
    <col min="1" max="1" width="22" style="10" customWidth="1"/>
    <col min="2" max="2" width="55" style="10" customWidth="1"/>
    <col min="3" max="3" width="38" style="10" customWidth="1"/>
    <col min="4" max="4" width="6" style="10" customWidth="1"/>
    <col min="5" max="5" width="10" style="10" customWidth="1"/>
    <col min="6" max="7" width="8.5" style="10" customWidth="1"/>
    <col min="8" max="16384" width="8.5" style="10"/>
  </cols>
  <sheetData>
    <row r="1" spans="1:5">
      <c r="A1" s="59" t="s">
        <v>422</v>
      </c>
      <c r="B1" s="60"/>
      <c r="C1" s="60"/>
      <c r="D1" s="60"/>
      <c r="E1" s="60"/>
    </row>
    <row r="2" spans="1:5">
      <c r="A2" s="58" t="s">
        <v>220</v>
      </c>
      <c r="B2" s="111"/>
      <c r="C2" s="111"/>
      <c r="D2" s="111"/>
      <c r="E2" s="111"/>
    </row>
    <row r="3" spans="1: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5">
      <c r="A4" s="56" t="s">
        <v>423</v>
      </c>
      <c r="B4" s="111"/>
      <c r="C4" s="112"/>
      <c r="D4" s="12">
        <v>30</v>
      </c>
      <c r="E4" s="13"/>
    </row>
    <row r="5" spans="1:5" ht="114">
      <c r="A5" s="14" t="s">
        <v>73</v>
      </c>
      <c r="B5" s="14" t="s">
        <v>424</v>
      </c>
      <c r="C5" s="14" t="s">
        <v>425</v>
      </c>
      <c r="D5" s="15">
        <v>12</v>
      </c>
      <c r="E5" s="14" t="s">
        <v>11</v>
      </c>
    </row>
    <row r="6" spans="1:5" ht="95">
      <c r="A6" s="16" t="s">
        <v>73</v>
      </c>
      <c r="B6" s="16" t="s">
        <v>426</v>
      </c>
      <c r="C6" s="16" t="s">
        <v>427</v>
      </c>
      <c r="D6" s="17">
        <v>7</v>
      </c>
      <c r="E6" s="16" t="s">
        <v>11</v>
      </c>
    </row>
    <row r="7" spans="1:5" ht="95">
      <c r="A7" s="14" t="s">
        <v>73</v>
      </c>
      <c r="B7" s="14" t="s">
        <v>428</v>
      </c>
      <c r="C7" s="14" t="s">
        <v>429</v>
      </c>
      <c r="D7" s="15">
        <v>6</v>
      </c>
      <c r="E7" s="14" t="s">
        <v>11</v>
      </c>
    </row>
    <row r="8" spans="1:5" ht="76">
      <c r="A8" s="16" t="s">
        <v>73</v>
      </c>
      <c r="B8" s="16" t="s">
        <v>430</v>
      </c>
      <c r="C8" s="16" t="s">
        <v>431</v>
      </c>
      <c r="D8" s="17">
        <v>5</v>
      </c>
      <c r="E8" s="16" t="s">
        <v>11</v>
      </c>
    </row>
    <row r="9" spans="1:5">
      <c r="A9" s="56" t="s">
        <v>432</v>
      </c>
      <c r="B9" s="111"/>
      <c r="C9" s="112"/>
      <c r="D9" s="12">
        <v>25</v>
      </c>
      <c r="E9" s="13"/>
    </row>
    <row r="10" spans="1:5" ht="114">
      <c r="A10" s="14" t="s">
        <v>433</v>
      </c>
      <c r="B10" s="14" t="s">
        <v>434</v>
      </c>
      <c r="C10" s="14" t="s">
        <v>435</v>
      </c>
      <c r="D10" s="15">
        <v>12</v>
      </c>
      <c r="E10" s="14" t="s">
        <v>15</v>
      </c>
    </row>
    <row r="11" spans="1:5" ht="76">
      <c r="A11" s="16" t="s">
        <v>433</v>
      </c>
      <c r="B11" s="16" t="s">
        <v>436</v>
      </c>
      <c r="C11" s="16" t="s">
        <v>437</v>
      </c>
      <c r="D11" s="17">
        <v>8</v>
      </c>
      <c r="E11" s="16" t="s">
        <v>15</v>
      </c>
    </row>
    <row r="12" spans="1:5" ht="114">
      <c r="A12" s="14" t="s">
        <v>433</v>
      </c>
      <c r="B12" s="14" t="s">
        <v>438</v>
      </c>
      <c r="C12" s="14" t="s">
        <v>439</v>
      </c>
      <c r="D12" s="15">
        <v>5</v>
      </c>
      <c r="E12" s="14" t="s">
        <v>15</v>
      </c>
    </row>
    <row r="13" spans="1:5">
      <c r="A13" s="56" t="s">
        <v>440</v>
      </c>
      <c r="B13" s="111"/>
      <c r="C13" s="112"/>
      <c r="D13" s="12">
        <v>15</v>
      </c>
      <c r="E13" s="13"/>
    </row>
    <row r="14" spans="1:5" ht="95">
      <c r="A14" s="14" t="s">
        <v>248</v>
      </c>
      <c r="B14" s="14" t="s">
        <v>441</v>
      </c>
      <c r="C14" s="14" t="s">
        <v>442</v>
      </c>
      <c r="D14" s="15">
        <v>7</v>
      </c>
      <c r="E14" s="14" t="s">
        <v>11</v>
      </c>
    </row>
    <row r="15" spans="1:5" ht="95">
      <c r="A15" s="16" t="s">
        <v>248</v>
      </c>
      <c r="B15" s="16" t="s">
        <v>443</v>
      </c>
      <c r="C15" s="16" t="s">
        <v>444</v>
      </c>
      <c r="D15" s="17">
        <v>4</v>
      </c>
      <c r="E15" s="16" t="s">
        <v>11</v>
      </c>
    </row>
    <row r="16" spans="1:5" ht="95">
      <c r="A16" s="14" t="s">
        <v>248</v>
      </c>
      <c r="B16" s="14" t="s">
        <v>445</v>
      </c>
      <c r="C16" s="14" t="s">
        <v>446</v>
      </c>
      <c r="D16" s="15">
        <v>4</v>
      </c>
      <c r="E16" s="14" t="s">
        <v>11</v>
      </c>
    </row>
    <row r="17" spans="1:5">
      <c r="A17" s="56" t="s">
        <v>447</v>
      </c>
      <c r="B17" s="111"/>
      <c r="C17" s="112"/>
      <c r="D17" s="12">
        <v>10</v>
      </c>
      <c r="E17" s="13"/>
    </row>
    <row r="18" spans="1:5" ht="114">
      <c r="A18" s="14" t="s">
        <v>196</v>
      </c>
      <c r="B18" s="14" t="s">
        <v>448</v>
      </c>
      <c r="C18" s="14" t="s">
        <v>449</v>
      </c>
      <c r="D18" s="15">
        <v>7</v>
      </c>
      <c r="E18" s="14" t="s">
        <v>22</v>
      </c>
    </row>
    <row r="19" spans="1:5" ht="95">
      <c r="A19" s="16" t="s">
        <v>196</v>
      </c>
      <c r="B19" s="16" t="s">
        <v>450</v>
      </c>
      <c r="C19" s="16" t="s">
        <v>451</v>
      </c>
      <c r="D19" s="17">
        <v>3</v>
      </c>
      <c r="E19" s="16" t="s">
        <v>11</v>
      </c>
    </row>
    <row r="20" spans="1:5">
      <c r="A20" s="56" t="s">
        <v>452</v>
      </c>
      <c r="B20" s="111"/>
      <c r="C20" s="112"/>
      <c r="D20" s="12">
        <v>12</v>
      </c>
      <c r="E20" s="13"/>
    </row>
    <row r="21" spans="1:5" ht="95">
      <c r="A21" s="14" t="s">
        <v>453</v>
      </c>
      <c r="B21" s="14" t="s">
        <v>454</v>
      </c>
      <c r="C21" s="14" t="s">
        <v>455</v>
      </c>
      <c r="D21" s="15">
        <v>5</v>
      </c>
      <c r="E21" s="14" t="s">
        <v>11</v>
      </c>
    </row>
    <row r="22" spans="1:5" ht="95">
      <c r="A22" s="16" t="s">
        <v>105</v>
      </c>
      <c r="B22" s="16" t="s">
        <v>456</v>
      </c>
      <c r="C22" s="16" t="s">
        <v>457</v>
      </c>
      <c r="D22" s="17">
        <v>5</v>
      </c>
      <c r="E22" s="16" t="s">
        <v>11</v>
      </c>
    </row>
    <row r="23" spans="1:5" ht="95">
      <c r="A23" s="14" t="s">
        <v>105</v>
      </c>
      <c r="B23" s="14" t="s">
        <v>458</v>
      </c>
      <c r="C23" s="14" t="s">
        <v>459</v>
      </c>
      <c r="D23" s="15">
        <v>2</v>
      </c>
      <c r="E23" s="14" t="s">
        <v>11</v>
      </c>
    </row>
    <row r="24" spans="1:5">
      <c r="A24" s="56" t="s">
        <v>460</v>
      </c>
      <c r="B24" s="111"/>
      <c r="C24" s="112"/>
      <c r="D24" s="12">
        <v>8</v>
      </c>
      <c r="E24" s="13"/>
    </row>
    <row r="25" spans="1:5" ht="114">
      <c r="A25" s="14" t="s">
        <v>362</v>
      </c>
      <c r="B25" s="14" t="s">
        <v>461</v>
      </c>
      <c r="C25" s="14" t="s">
        <v>462</v>
      </c>
      <c r="D25" s="15">
        <v>5</v>
      </c>
      <c r="E25" s="14" t="s">
        <v>11</v>
      </c>
    </row>
    <row r="26" spans="1:5" ht="114">
      <c r="A26" s="16" t="s">
        <v>362</v>
      </c>
      <c r="B26" s="16" t="s">
        <v>463</v>
      </c>
      <c r="C26" s="16" t="s">
        <v>464</v>
      </c>
      <c r="D26" s="17">
        <v>3</v>
      </c>
      <c r="E26" s="16" t="s">
        <v>11</v>
      </c>
    </row>
    <row r="27" spans="1:5">
      <c r="A27" s="53" t="s">
        <v>61</v>
      </c>
      <c r="B27" s="111"/>
      <c r="C27" s="112"/>
      <c r="D27" s="18">
        <v>100</v>
      </c>
      <c r="E27" s="19"/>
    </row>
    <row r="28" spans="1:5">
      <c r="A28" s="57" t="s">
        <v>108</v>
      </c>
      <c r="B28" s="111"/>
      <c r="C28" s="111"/>
      <c r="D28" s="111"/>
      <c r="E28" s="111"/>
    </row>
    <row r="29" spans="1:5" ht="81" customHeight="1">
      <c r="A29" s="113" t="s">
        <v>109</v>
      </c>
      <c r="B29" s="114" t="s">
        <v>465</v>
      </c>
      <c r="C29" s="111"/>
      <c r="D29" s="111"/>
      <c r="E29" s="111"/>
    </row>
    <row r="30" spans="1:5" ht="49" customHeight="1">
      <c r="A30" s="115" t="s">
        <v>111</v>
      </c>
      <c r="B30" s="116" t="s">
        <v>466</v>
      </c>
      <c r="C30" s="111"/>
      <c r="D30" s="111"/>
      <c r="E30" s="111"/>
    </row>
    <row r="31" spans="1:5" ht="61" customHeight="1">
      <c r="A31" s="117" t="s">
        <v>113</v>
      </c>
      <c r="B31" s="118" t="s">
        <v>467</v>
      </c>
      <c r="C31" s="111"/>
      <c r="D31" s="111"/>
      <c r="E31" s="111"/>
    </row>
    <row r="32" spans="1:5">
      <c r="A32" s="119"/>
      <c r="B32" s="120"/>
      <c r="C32" s="121"/>
      <c r="D32" s="121"/>
      <c r="E32" s="121"/>
    </row>
    <row r="33" spans="1:2">
      <c r="A33" s="20" t="s">
        <v>115</v>
      </c>
      <c r="B33" s="20"/>
    </row>
  </sheetData>
  <mergeCells count="13">
    <mergeCell ref="A1:E1"/>
    <mergeCell ref="A27:C27"/>
    <mergeCell ref="A4:C4"/>
    <mergeCell ref="A20:C20"/>
    <mergeCell ref="A24:C24"/>
    <mergeCell ref="B31:E31"/>
    <mergeCell ref="A13:C13"/>
    <mergeCell ref="A2:E2"/>
    <mergeCell ref="A28:E28"/>
    <mergeCell ref="B30:E30"/>
    <mergeCell ref="A17:C17"/>
    <mergeCell ref="A9:C9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"/>
  <sheetViews>
    <sheetView topLeftCell="A20" workbookViewId="0">
      <selection activeCell="A24" sqref="A24:XFD24"/>
    </sheetView>
  </sheetViews>
  <sheetFormatPr baseColWidth="10" defaultColWidth="8.83203125" defaultRowHeight="18"/>
  <cols>
    <col min="1" max="1" width="26" style="22" customWidth="1"/>
    <col min="2" max="2" width="52" style="22" customWidth="1"/>
    <col min="3" max="3" width="40" style="22" customWidth="1"/>
    <col min="4" max="4" width="9" style="22" customWidth="1"/>
    <col min="5" max="5" width="11" style="22" customWidth="1"/>
    <col min="6" max="6" width="8.83203125" style="22" customWidth="1"/>
    <col min="7" max="16384" width="8.83203125" style="22"/>
  </cols>
  <sheetData>
    <row r="1" spans="1:5">
      <c r="A1" s="48" t="s">
        <v>468</v>
      </c>
      <c r="B1" s="43"/>
      <c r="C1" s="43"/>
      <c r="D1" s="43"/>
      <c r="E1" s="44"/>
    </row>
    <row r="2" spans="1:5">
      <c r="A2" s="46" t="s">
        <v>469</v>
      </c>
      <c r="B2" s="43"/>
      <c r="C2" s="43"/>
      <c r="D2" s="43"/>
      <c r="E2" s="44"/>
    </row>
    <row r="3" spans="1:5" ht="19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s="45" t="s">
        <v>470</v>
      </c>
      <c r="B4" s="43"/>
      <c r="C4" s="43"/>
      <c r="D4" s="43"/>
      <c r="E4" s="44"/>
    </row>
    <row r="5" spans="1:5" ht="114" customHeight="1">
      <c r="A5" s="23" t="s">
        <v>471</v>
      </c>
      <c r="B5" s="24" t="s">
        <v>472</v>
      </c>
      <c r="C5" s="25" t="s">
        <v>473</v>
      </c>
      <c r="D5" s="26">
        <v>15</v>
      </c>
      <c r="E5" s="27" t="s">
        <v>11</v>
      </c>
    </row>
    <row r="6" spans="1:5" ht="133" customHeight="1">
      <c r="A6" s="28" t="s">
        <v>474</v>
      </c>
      <c r="B6" s="29" t="s">
        <v>475</v>
      </c>
      <c r="C6" s="25" t="s">
        <v>476</v>
      </c>
      <c r="D6" s="30">
        <v>10</v>
      </c>
      <c r="E6" s="27" t="s">
        <v>15</v>
      </c>
    </row>
    <row r="7" spans="1:5" ht="114" customHeight="1">
      <c r="A7" s="23" t="s">
        <v>477</v>
      </c>
      <c r="B7" s="24" t="s">
        <v>478</v>
      </c>
      <c r="C7" s="25" t="s">
        <v>479</v>
      </c>
      <c r="D7" s="26">
        <v>5</v>
      </c>
      <c r="E7" s="27" t="s">
        <v>15</v>
      </c>
    </row>
    <row r="8" spans="1:5">
      <c r="A8" s="45" t="s">
        <v>480</v>
      </c>
      <c r="B8" s="43"/>
      <c r="C8" s="43"/>
      <c r="D8" s="43"/>
      <c r="E8" s="44"/>
    </row>
    <row r="9" spans="1:5" ht="114" customHeight="1">
      <c r="A9" s="28" t="s">
        <v>481</v>
      </c>
      <c r="B9" s="29" t="s">
        <v>482</v>
      </c>
      <c r="C9" s="25" t="s">
        <v>483</v>
      </c>
      <c r="D9" s="30">
        <v>12</v>
      </c>
      <c r="E9" s="27" t="s">
        <v>11</v>
      </c>
    </row>
    <row r="10" spans="1:5" ht="114" customHeight="1">
      <c r="A10" s="23" t="s">
        <v>484</v>
      </c>
      <c r="B10" s="24" t="s">
        <v>485</v>
      </c>
      <c r="C10" s="25" t="s">
        <v>486</v>
      </c>
      <c r="D10" s="26">
        <v>8</v>
      </c>
      <c r="E10" s="27" t="s">
        <v>11</v>
      </c>
    </row>
    <row r="11" spans="1:5" ht="114" customHeight="1">
      <c r="A11" s="28" t="s">
        <v>487</v>
      </c>
      <c r="B11" s="29" t="s">
        <v>488</v>
      </c>
      <c r="C11" s="25" t="s">
        <v>489</v>
      </c>
      <c r="D11" s="30">
        <v>5</v>
      </c>
      <c r="E11" s="27" t="s">
        <v>11</v>
      </c>
    </row>
    <row r="12" spans="1:5">
      <c r="A12" s="45" t="s">
        <v>490</v>
      </c>
      <c r="B12" s="43"/>
      <c r="C12" s="43"/>
      <c r="D12" s="43"/>
      <c r="E12" s="44"/>
    </row>
    <row r="13" spans="1:5" ht="95" customHeight="1">
      <c r="A13" s="23" t="s">
        <v>290</v>
      </c>
      <c r="B13" s="24" t="s">
        <v>491</v>
      </c>
      <c r="C13" s="25" t="s">
        <v>492</v>
      </c>
      <c r="D13" s="26">
        <v>12</v>
      </c>
      <c r="E13" s="27" t="s">
        <v>11</v>
      </c>
    </row>
    <row r="14" spans="1:5" ht="114" customHeight="1">
      <c r="A14" s="28" t="s">
        <v>493</v>
      </c>
      <c r="B14" s="29" t="s">
        <v>494</v>
      </c>
      <c r="C14" s="25" t="s">
        <v>495</v>
      </c>
      <c r="D14" s="30">
        <v>8</v>
      </c>
      <c r="E14" s="27" t="s">
        <v>11</v>
      </c>
    </row>
    <row r="15" spans="1:5">
      <c r="A15" s="45" t="s">
        <v>496</v>
      </c>
      <c r="B15" s="43"/>
      <c r="C15" s="43"/>
      <c r="D15" s="43"/>
      <c r="E15" s="44"/>
    </row>
    <row r="16" spans="1:5" ht="95" customHeight="1">
      <c r="A16" s="23" t="s">
        <v>497</v>
      </c>
      <c r="B16" s="24" t="s">
        <v>498</v>
      </c>
      <c r="C16" s="25" t="s">
        <v>499</v>
      </c>
      <c r="D16" s="26">
        <v>8</v>
      </c>
      <c r="E16" s="27" t="s">
        <v>11</v>
      </c>
    </row>
    <row r="17" spans="1:5" ht="95" customHeight="1">
      <c r="A17" s="28" t="s">
        <v>500</v>
      </c>
      <c r="B17" s="29" t="s">
        <v>501</v>
      </c>
      <c r="C17" s="25" t="s">
        <v>502</v>
      </c>
      <c r="D17" s="30">
        <v>7</v>
      </c>
      <c r="E17" s="27" t="s">
        <v>11</v>
      </c>
    </row>
    <row r="18" spans="1:5">
      <c r="A18" s="45" t="s">
        <v>503</v>
      </c>
      <c r="B18" s="43"/>
      <c r="C18" s="43"/>
      <c r="D18" s="43"/>
      <c r="E18" s="44"/>
    </row>
    <row r="19" spans="1:5" ht="114" customHeight="1">
      <c r="A19" s="23" t="s">
        <v>504</v>
      </c>
      <c r="B19" s="24" t="s">
        <v>505</v>
      </c>
      <c r="C19" s="25" t="s">
        <v>506</v>
      </c>
      <c r="D19" s="26">
        <v>4</v>
      </c>
      <c r="E19" s="27" t="s">
        <v>22</v>
      </c>
    </row>
    <row r="20" spans="1:5" ht="133" customHeight="1">
      <c r="A20" s="28" t="s">
        <v>507</v>
      </c>
      <c r="B20" s="29" t="s">
        <v>508</v>
      </c>
      <c r="C20" s="25" t="s">
        <v>509</v>
      </c>
      <c r="D20" s="30">
        <v>3</v>
      </c>
      <c r="E20" s="27" t="s">
        <v>11</v>
      </c>
    </row>
    <row r="21" spans="1:5">
      <c r="A21" s="45" t="s">
        <v>510</v>
      </c>
      <c r="B21" s="43"/>
      <c r="C21" s="43"/>
      <c r="D21" s="43"/>
      <c r="E21" s="44"/>
    </row>
    <row r="22" spans="1:5" ht="114" customHeight="1">
      <c r="A22" s="23" t="s">
        <v>511</v>
      </c>
      <c r="B22" s="24" t="s">
        <v>512</v>
      </c>
      <c r="C22" s="25" t="s">
        <v>513</v>
      </c>
      <c r="D22" s="26">
        <v>3</v>
      </c>
      <c r="E22" s="27" t="s">
        <v>11</v>
      </c>
    </row>
    <row r="23" spans="1:5">
      <c r="A23" s="42" t="s">
        <v>61</v>
      </c>
      <c r="B23" s="43"/>
      <c r="C23" s="44"/>
      <c r="D23" s="21">
        <v>100</v>
      </c>
      <c r="E23" s="31"/>
    </row>
    <row r="24" spans="1:5">
      <c r="A24" s="50"/>
      <c r="B24" s="43"/>
      <c r="C24" s="44"/>
      <c r="D24" s="32"/>
      <c r="E24" s="33"/>
    </row>
    <row r="25" spans="1:5">
      <c r="A25" s="51" t="s">
        <v>62</v>
      </c>
      <c r="B25" s="43"/>
      <c r="C25" s="43"/>
      <c r="D25" s="43"/>
      <c r="E25" s="44"/>
    </row>
    <row r="26" spans="1:5" ht="19" customHeight="1">
      <c r="A26" s="26" t="s">
        <v>63</v>
      </c>
      <c r="B26" s="47" t="s">
        <v>514</v>
      </c>
      <c r="C26" s="43"/>
      <c r="D26" s="43"/>
      <c r="E26" s="44"/>
    </row>
    <row r="27" spans="1:5" ht="19" customHeight="1">
      <c r="A27" s="26" t="s">
        <v>65</v>
      </c>
      <c r="B27" s="47" t="s">
        <v>515</v>
      </c>
      <c r="C27" s="43"/>
      <c r="D27" s="43"/>
      <c r="E27" s="44"/>
    </row>
    <row r="28" spans="1:5" ht="19" customHeight="1">
      <c r="A28" s="26" t="s">
        <v>67</v>
      </c>
      <c r="B28" s="47" t="s">
        <v>516</v>
      </c>
      <c r="C28" s="43"/>
      <c r="D28" s="43"/>
      <c r="E28" s="44"/>
    </row>
    <row r="29" spans="1:5">
      <c r="A29" s="49" t="s">
        <v>517</v>
      </c>
      <c r="B29" s="43"/>
      <c r="C29" s="43"/>
      <c r="D29" s="43"/>
      <c r="E29" s="44"/>
    </row>
  </sheetData>
  <mergeCells count="15">
    <mergeCell ref="A2:E2"/>
    <mergeCell ref="A23:C23"/>
    <mergeCell ref="A15:E15"/>
    <mergeCell ref="A25:E25"/>
    <mergeCell ref="A1:E1"/>
    <mergeCell ref="A24:C24"/>
    <mergeCell ref="A8:E8"/>
    <mergeCell ref="A18:E18"/>
    <mergeCell ref="A21:E21"/>
    <mergeCell ref="B26:E26"/>
    <mergeCell ref="A29:E29"/>
    <mergeCell ref="A4:E4"/>
    <mergeCell ref="A12:E12"/>
    <mergeCell ref="B27:E27"/>
    <mergeCell ref="B28:E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E29"/>
  <sheetViews>
    <sheetView topLeftCell="A23" zoomScaleNormal="100" workbookViewId="0">
      <selection activeCell="A30" sqref="A30"/>
    </sheetView>
  </sheetViews>
  <sheetFormatPr baseColWidth="10" defaultColWidth="8.5" defaultRowHeight="64" customHeight="1"/>
  <cols>
    <col min="1" max="1" width="22" style="10" customWidth="1"/>
    <col min="2" max="2" width="55" style="10" customWidth="1"/>
    <col min="3" max="3" width="38" style="10" customWidth="1"/>
    <col min="4" max="4" width="6" style="10" customWidth="1"/>
    <col min="5" max="5" width="10" style="10" customWidth="1"/>
    <col min="6" max="7" width="8.5" style="10" customWidth="1"/>
    <col min="8" max="16384" width="8.5" style="10"/>
  </cols>
  <sheetData>
    <row r="1" spans="1:5" ht="64" customHeight="1">
      <c r="A1" s="59" t="s">
        <v>518</v>
      </c>
      <c r="B1" s="60"/>
      <c r="C1" s="60"/>
      <c r="D1" s="60"/>
      <c r="E1" s="60"/>
    </row>
    <row r="2" spans="1:5" ht="64" customHeight="1">
      <c r="A2" s="58" t="s">
        <v>220</v>
      </c>
      <c r="B2" s="111"/>
      <c r="C2" s="111"/>
      <c r="D2" s="111"/>
      <c r="E2" s="111"/>
    </row>
    <row r="3" spans="1:5" ht="6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5" ht="64" customHeight="1">
      <c r="A4" s="56" t="s">
        <v>519</v>
      </c>
      <c r="B4" s="111"/>
      <c r="C4" s="112"/>
      <c r="D4" s="12">
        <v>40</v>
      </c>
      <c r="E4" s="13"/>
    </row>
    <row r="5" spans="1:5" ht="64" customHeight="1">
      <c r="A5" s="14" t="s">
        <v>188</v>
      </c>
      <c r="B5" s="14" t="s">
        <v>520</v>
      </c>
      <c r="C5" s="14" t="s">
        <v>521</v>
      </c>
      <c r="D5" s="15">
        <v>20</v>
      </c>
      <c r="E5" s="14" t="s">
        <v>11</v>
      </c>
    </row>
    <row r="6" spans="1:5" ht="64" customHeight="1">
      <c r="A6" s="16" t="s">
        <v>188</v>
      </c>
      <c r="B6" s="16" t="s">
        <v>522</v>
      </c>
      <c r="C6" s="16" t="s">
        <v>523</v>
      </c>
      <c r="D6" s="17">
        <v>8</v>
      </c>
      <c r="E6" s="16" t="s">
        <v>11</v>
      </c>
    </row>
    <row r="7" spans="1:5" ht="64" customHeight="1">
      <c r="A7" s="14" t="s">
        <v>188</v>
      </c>
      <c r="B7" s="14" t="s">
        <v>524</v>
      </c>
      <c r="C7" s="14" t="s">
        <v>525</v>
      </c>
      <c r="D7" s="15">
        <v>8</v>
      </c>
      <c r="E7" s="14" t="s">
        <v>11</v>
      </c>
    </row>
    <row r="8" spans="1:5" ht="64" customHeight="1">
      <c r="A8" s="16" t="s">
        <v>188</v>
      </c>
      <c r="B8" s="16" t="s">
        <v>526</v>
      </c>
      <c r="C8" s="16" t="s">
        <v>527</v>
      </c>
      <c r="D8" s="17">
        <v>4</v>
      </c>
      <c r="E8" s="16" t="s">
        <v>11</v>
      </c>
    </row>
    <row r="9" spans="1:5" ht="64" customHeight="1">
      <c r="A9" s="56" t="s">
        <v>528</v>
      </c>
      <c r="B9" s="111"/>
      <c r="C9" s="112"/>
      <c r="D9" s="12">
        <v>25</v>
      </c>
      <c r="E9" s="13"/>
    </row>
    <row r="10" spans="1:5" ht="64" customHeight="1">
      <c r="A10" s="14" t="s">
        <v>196</v>
      </c>
      <c r="B10" s="14" t="s">
        <v>529</v>
      </c>
      <c r="C10" s="14" t="s">
        <v>530</v>
      </c>
      <c r="D10" s="15">
        <v>15</v>
      </c>
      <c r="E10" s="14" t="s">
        <v>22</v>
      </c>
    </row>
    <row r="11" spans="1:5" ht="64" customHeight="1">
      <c r="A11" s="16" t="s">
        <v>196</v>
      </c>
      <c r="B11" s="16" t="s">
        <v>531</v>
      </c>
      <c r="C11" s="16" t="s">
        <v>532</v>
      </c>
      <c r="D11" s="17">
        <v>6</v>
      </c>
      <c r="E11" s="16" t="s">
        <v>22</v>
      </c>
    </row>
    <row r="12" spans="1:5" ht="64" customHeight="1">
      <c r="A12" s="14" t="s">
        <v>196</v>
      </c>
      <c r="B12" s="14" t="s">
        <v>533</v>
      </c>
      <c r="C12" s="14" t="s">
        <v>534</v>
      </c>
      <c r="D12" s="15">
        <v>4</v>
      </c>
      <c r="E12" s="14" t="s">
        <v>11</v>
      </c>
    </row>
    <row r="13" spans="1:5" ht="64" customHeight="1">
      <c r="A13" s="56" t="s">
        <v>535</v>
      </c>
      <c r="B13" s="111"/>
      <c r="C13" s="112"/>
      <c r="D13" s="12">
        <v>15</v>
      </c>
      <c r="E13" s="13"/>
    </row>
    <row r="14" spans="1:5" ht="64" customHeight="1">
      <c r="A14" s="14" t="s">
        <v>105</v>
      </c>
      <c r="B14" s="14" t="s">
        <v>536</v>
      </c>
      <c r="C14" s="14" t="s">
        <v>537</v>
      </c>
      <c r="D14" s="15">
        <v>8</v>
      </c>
      <c r="E14" s="14" t="s">
        <v>11</v>
      </c>
    </row>
    <row r="15" spans="1:5" ht="64" customHeight="1">
      <c r="A15" s="16" t="s">
        <v>105</v>
      </c>
      <c r="B15" s="16" t="s">
        <v>538</v>
      </c>
      <c r="C15" s="16" t="s">
        <v>539</v>
      </c>
      <c r="D15" s="17">
        <v>5</v>
      </c>
      <c r="E15" s="16" t="s">
        <v>11</v>
      </c>
    </row>
    <row r="16" spans="1:5" ht="64" customHeight="1">
      <c r="A16" s="14" t="s">
        <v>105</v>
      </c>
      <c r="B16" s="14" t="s">
        <v>540</v>
      </c>
      <c r="C16" s="14" t="s">
        <v>541</v>
      </c>
      <c r="D16" s="15">
        <v>2</v>
      </c>
      <c r="E16" s="14" t="s">
        <v>11</v>
      </c>
    </row>
    <row r="17" spans="1:5" ht="64" customHeight="1">
      <c r="A17" s="56" t="s">
        <v>542</v>
      </c>
      <c r="B17" s="111"/>
      <c r="C17" s="112"/>
      <c r="D17" s="12">
        <v>10</v>
      </c>
      <c r="E17" s="13"/>
    </row>
    <row r="18" spans="1:5" ht="64" customHeight="1">
      <c r="A18" s="14" t="s">
        <v>543</v>
      </c>
      <c r="B18" s="14" t="s">
        <v>544</v>
      </c>
      <c r="C18" s="14" t="s">
        <v>545</v>
      </c>
      <c r="D18" s="15">
        <v>7</v>
      </c>
      <c r="E18" s="14" t="s">
        <v>22</v>
      </c>
    </row>
    <row r="19" spans="1:5" ht="64" customHeight="1">
      <c r="A19" s="16" t="s">
        <v>543</v>
      </c>
      <c r="B19" s="16" t="s">
        <v>546</v>
      </c>
      <c r="C19" s="16" t="s">
        <v>547</v>
      </c>
      <c r="D19" s="17">
        <v>3</v>
      </c>
      <c r="E19" s="16" t="s">
        <v>22</v>
      </c>
    </row>
    <row r="20" spans="1:5" ht="64" customHeight="1">
      <c r="A20" s="56" t="s">
        <v>548</v>
      </c>
      <c r="B20" s="111"/>
      <c r="C20" s="112"/>
      <c r="D20" s="12">
        <v>10</v>
      </c>
      <c r="E20" s="13"/>
    </row>
    <row r="21" spans="1:5" ht="64" customHeight="1">
      <c r="A21" s="14" t="s">
        <v>549</v>
      </c>
      <c r="B21" s="14" t="s">
        <v>550</v>
      </c>
      <c r="C21" s="14" t="s">
        <v>551</v>
      </c>
      <c r="D21" s="15">
        <v>7</v>
      </c>
      <c r="E21" s="14" t="s">
        <v>11</v>
      </c>
    </row>
    <row r="22" spans="1:5" ht="64" customHeight="1">
      <c r="A22" s="16" t="s">
        <v>549</v>
      </c>
      <c r="B22" s="16" t="s">
        <v>552</v>
      </c>
      <c r="C22" s="16" t="s">
        <v>553</v>
      </c>
      <c r="D22" s="17">
        <v>3</v>
      </c>
      <c r="E22" s="16" t="s">
        <v>11</v>
      </c>
    </row>
    <row r="23" spans="1:5" ht="64" customHeight="1">
      <c r="A23" s="53" t="s">
        <v>61</v>
      </c>
      <c r="B23" s="111"/>
      <c r="C23" s="112"/>
      <c r="D23" s="18">
        <v>100</v>
      </c>
      <c r="E23" s="19"/>
    </row>
    <row r="24" spans="1:5" ht="64" customHeight="1">
      <c r="A24" s="57" t="s">
        <v>108</v>
      </c>
      <c r="B24" s="111"/>
      <c r="C24" s="111"/>
      <c r="D24" s="111"/>
      <c r="E24" s="111"/>
    </row>
    <row r="25" spans="1:5" ht="64" customHeight="1">
      <c r="A25" s="113" t="s">
        <v>109</v>
      </c>
      <c r="B25" s="114" t="s">
        <v>554</v>
      </c>
      <c r="C25" s="111"/>
      <c r="D25" s="111"/>
      <c r="E25" s="111"/>
    </row>
    <row r="26" spans="1:5" ht="64" customHeight="1">
      <c r="A26" s="115" t="s">
        <v>111</v>
      </c>
      <c r="B26" s="116" t="s">
        <v>555</v>
      </c>
      <c r="C26" s="111"/>
      <c r="D26" s="111"/>
      <c r="E26" s="111"/>
    </row>
    <row r="27" spans="1:5" ht="64" customHeight="1">
      <c r="A27" s="117" t="s">
        <v>113</v>
      </c>
      <c r="B27" s="118" t="s">
        <v>556</v>
      </c>
      <c r="C27" s="111"/>
      <c r="D27" s="111"/>
      <c r="E27" s="111"/>
    </row>
    <row r="28" spans="1:5" ht="64" customHeight="1">
      <c r="A28" s="119"/>
      <c r="B28" s="120"/>
      <c r="C28" s="121"/>
      <c r="D28" s="121"/>
      <c r="E28" s="121"/>
    </row>
    <row r="29" spans="1:5" ht="64" customHeight="1">
      <c r="A29" s="20"/>
      <c r="B29" s="20"/>
    </row>
  </sheetData>
  <mergeCells count="12">
    <mergeCell ref="A1:E1"/>
    <mergeCell ref="B25:E25"/>
    <mergeCell ref="A4:C4"/>
    <mergeCell ref="A20:C20"/>
    <mergeCell ref="B26:E26"/>
    <mergeCell ref="B27:E27"/>
    <mergeCell ref="A13:C13"/>
    <mergeCell ref="A24:E24"/>
    <mergeCell ref="A2:E2"/>
    <mergeCell ref="A23:C23"/>
    <mergeCell ref="A17:C17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9"/>
  <sheetViews>
    <sheetView topLeftCell="A21" workbookViewId="0">
      <selection activeCell="A24" sqref="A24:XFD24"/>
    </sheetView>
  </sheetViews>
  <sheetFormatPr baseColWidth="10" defaultColWidth="8.83203125" defaultRowHeight="18"/>
  <cols>
    <col min="1" max="1" width="26" style="22" customWidth="1"/>
    <col min="2" max="2" width="52" style="22" customWidth="1"/>
    <col min="3" max="3" width="40" style="22" customWidth="1"/>
    <col min="4" max="4" width="9" style="22" customWidth="1"/>
    <col min="5" max="5" width="11" style="22" customWidth="1"/>
    <col min="6" max="6" width="8.83203125" style="22" customWidth="1"/>
    <col min="7" max="16384" width="8.83203125" style="22"/>
  </cols>
  <sheetData>
    <row r="1" spans="1:5">
      <c r="A1" s="48" t="s">
        <v>557</v>
      </c>
      <c r="B1" s="43"/>
      <c r="C1" s="43"/>
      <c r="D1" s="43"/>
      <c r="E1" s="44"/>
    </row>
    <row r="2" spans="1:5">
      <c r="A2" s="46" t="s">
        <v>558</v>
      </c>
      <c r="B2" s="43"/>
      <c r="C2" s="43"/>
      <c r="D2" s="43"/>
      <c r="E2" s="44"/>
    </row>
    <row r="3" spans="1:5" ht="19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s="45" t="s">
        <v>559</v>
      </c>
      <c r="B4" s="43"/>
      <c r="C4" s="43"/>
      <c r="D4" s="43"/>
      <c r="E4" s="44"/>
    </row>
    <row r="5" spans="1:5" ht="133" customHeight="1">
      <c r="A5" s="23" t="s">
        <v>560</v>
      </c>
      <c r="B5" s="24" t="s">
        <v>561</v>
      </c>
      <c r="C5" s="25" t="s">
        <v>562</v>
      </c>
      <c r="D5" s="26">
        <v>20</v>
      </c>
      <c r="E5" s="27" t="s">
        <v>11</v>
      </c>
    </row>
    <row r="6" spans="1:5" ht="133" customHeight="1">
      <c r="A6" s="28" t="s">
        <v>563</v>
      </c>
      <c r="B6" s="29" t="s">
        <v>564</v>
      </c>
      <c r="C6" s="25" t="s">
        <v>565</v>
      </c>
      <c r="D6" s="30">
        <v>15</v>
      </c>
      <c r="E6" s="27" t="s">
        <v>11</v>
      </c>
    </row>
    <row r="7" spans="1:5">
      <c r="A7" s="45" t="s">
        <v>566</v>
      </c>
      <c r="B7" s="43"/>
      <c r="C7" s="43"/>
      <c r="D7" s="43"/>
      <c r="E7" s="44"/>
    </row>
    <row r="8" spans="1:5" ht="133" customHeight="1">
      <c r="A8" s="23" t="s">
        <v>567</v>
      </c>
      <c r="B8" s="24" t="s">
        <v>568</v>
      </c>
      <c r="C8" s="25" t="s">
        <v>569</v>
      </c>
      <c r="D8" s="26">
        <v>15</v>
      </c>
      <c r="E8" s="27" t="s">
        <v>11</v>
      </c>
    </row>
    <row r="9" spans="1:5" ht="95" customHeight="1">
      <c r="A9" s="28" t="s">
        <v>570</v>
      </c>
      <c r="B9" s="29" t="s">
        <v>571</v>
      </c>
      <c r="C9" s="25" t="s">
        <v>572</v>
      </c>
      <c r="D9" s="30">
        <v>7</v>
      </c>
      <c r="E9" s="27" t="s">
        <v>11</v>
      </c>
    </row>
    <row r="10" spans="1:5" ht="114" customHeight="1">
      <c r="A10" s="23" t="s">
        <v>573</v>
      </c>
      <c r="B10" s="24" t="s">
        <v>574</v>
      </c>
      <c r="C10" s="25" t="s">
        <v>575</v>
      </c>
      <c r="D10" s="26">
        <v>3</v>
      </c>
      <c r="E10" s="27" t="s">
        <v>11</v>
      </c>
    </row>
    <row r="11" spans="1:5">
      <c r="A11" s="45" t="s">
        <v>576</v>
      </c>
      <c r="B11" s="43"/>
      <c r="C11" s="43"/>
      <c r="D11" s="43"/>
      <c r="E11" s="44"/>
    </row>
    <row r="12" spans="1:5" ht="114" customHeight="1">
      <c r="A12" s="28" t="s">
        <v>577</v>
      </c>
      <c r="B12" s="29" t="s">
        <v>578</v>
      </c>
      <c r="C12" s="25" t="s">
        <v>579</v>
      </c>
      <c r="D12" s="30">
        <v>12</v>
      </c>
      <c r="E12" s="27" t="s">
        <v>11</v>
      </c>
    </row>
    <row r="13" spans="1:5" ht="133" customHeight="1">
      <c r="A13" s="23" t="s">
        <v>580</v>
      </c>
      <c r="B13" s="24" t="s">
        <v>581</v>
      </c>
      <c r="C13" s="25" t="s">
        <v>582</v>
      </c>
      <c r="D13" s="26">
        <v>8</v>
      </c>
      <c r="E13" s="27" t="s">
        <v>22</v>
      </c>
    </row>
    <row r="14" spans="1:5">
      <c r="A14" s="45" t="s">
        <v>583</v>
      </c>
      <c r="B14" s="43"/>
      <c r="C14" s="43"/>
      <c r="D14" s="43"/>
      <c r="E14" s="44"/>
    </row>
    <row r="15" spans="1:5" ht="114" customHeight="1">
      <c r="A15" s="28" t="s">
        <v>584</v>
      </c>
      <c r="B15" s="29" t="s">
        <v>585</v>
      </c>
      <c r="C15" s="25" t="s">
        <v>586</v>
      </c>
      <c r="D15" s="30">
        <v>6</v>
      </c>
      <c r="E15" s="27" t="s">
        <v>11</v>
      </c>
    </row>
    <row r="16" spans="1:5" ht="114" customHeight="1">
      <c r="A16" s="23" t="s">
        <v>587</v>
      </c>
      <c r="B16" s="24" t="s">
        <v>588</v>
      </c>
      <c r="C16" s="25" t="s">
        <v>589</v>
      </c>
      <c r="D16" s="26">
        <v>4</v>
      </c>
      <c r="E16" s="27" t="s">
        <v>11</v>
      </c>
    </row>
    <row r="17" spans="1:5">
      <c r="A17" s="45" t="s">
        <v>590</v>
      </c>
      <c r="B17" s="43"/>
      <c r="C17" s="43"/>
      <c r="D17" s="43"/>
      <c r="E17" s="44"/>
    </row>
    <row r="18" spans="1:5" ht="114" customHeight="1">
      <c r="A18" s="23" t="s">
        <v>591</v>
      </c>
      <c r="B18" s="24" t="s">
        <v>592</v>
      </c>
      <c r="C18" s="25" t="s">
        <v>593</v>
      </c>
      <c r="D18" s="26">
        <v>5</v>
      </c>
      <c r="E18" s="27" t="s">
        <v>11</v>
      </c>
    </row>
    <row r="19" spans="1:5" ht="114" customHeight="1">
      <c r="A19" s="28" t="s">
        <v>594</v>
      </c>
      <c r="B19" s="29" t="s">
        <v>595</v>
      </c>
      <c r="C19" s="25" t="s">
        <v>596</v>
      </c>
      <c r="D19" s="30">
        <v>2</v>
      </c>
      <c r="E19" s="27" t="s">
        <v>11</v>
      </c>
    </row>
    <row r="20" spans="1:5">
      <c r="A20" s="45" t="s">
        <v>597</v>
      </c>
      <c r="B20" s="43"/>
      <c r="C20" s="43"/>
      <c r="D20" s="43"/>
      <c r="E20" s="44"/>
    </row>
    <row r="21" spans="1:5" ht="133" customHeight="1">
      <c r="A21" s="23" t="s">
        <v>598</v>
      </c>
      <c r="B21" s="24" t="s">
        <v>599</v>
      </c>
      <c r="C21" s="25" t="s">
        <v>600</v>
      </c>
      <c r="D21" s="26">
        <v>2</v>
      </c>
      <c r="E21" s="27" t="s">
        <v>11</v>
      </c>
    </row>
    <row r="22" spans="1:5" ht="114" customHeight="1">
      <c r="A22" s="28" t="s">
        <v>601</v>
      </c>
      <c r="B22" s="29" t="s">
        <v>602</v>
      </c>
      <c r="C22" s="25" t="s">
        <v>603</v>
      </c>
      <c r="D22" s="30">
        <v>1</v>
      </c>
      <c r="E22" s="27" t="s">
        <v>11</v>
      </c>
    </row>
    <row r="23" spans="1:5">
      <c r="A23" s="42" t="s">
        <v>61</v>
      </c>
      <c r="B23" s="43"/>
      <c r="C23" s="44"/>
      <c r="D23" s="21">
        <v>100</v>
      </c>
      <c r="E23" s="31"/>
    </row>
    <row r="24" spans="1:5">
      <c r="A24" s="50"/>
      <c r="B24" s="43"/>
      <c r="C24" s="44"/>
      <c r="D24" s="32"/>
      <c r="E24" s="33"/>
    </row>
    <row r="25" spans="1:5">
      <c r="A25" s="51" t="s">
        <v>62</v>
      </c>
      <c r="B25" s="43"/>
      <c r="C25" s="43"/>
      <c r="D25" s="43"/>
      <c r="E25" s="44"/>
    </row>
    <row r="26" spans="1:5" ht="19" customHeight="1">
      <c r="A26" s="26" t="s">
        <v>63</v>
      </c>
      <c r="B26" s="47" t="s">
        <v>604</v>
      </c>
      <c r="C26" s="43"/>
      <c r="D26" s="43"/>
      <c r="E26" s="44"/>
    </row>
    <row r="27" spans="1:5" ht="19" customHeight="1">
      <c r="A27" s="26" t="s">
        <v>65</v>
      </c>
      <c r="B27" s="47" t="s">
        <v>605</v>
      </c>
      <c r="C27" s="43"/>
      <c r="D27" s="43"/>
      <c r="E27" s="44"/>
    </row>
    <row r="28" spans="1:5" ht="19" customHeight="1">
      <c r="A28" s="26" t="s">
        <v>67</v>
      </c>
      <c r="B28" s="47" t="s">
        <v>606</v>
      </c>
      <c r="C28" s="43"/>
      <c r="D28" s="43"/>
      <c r="E28" s="44"/>
    </row>
    <row r="29" spans="1:5">
      <c r="A29" s="49" t="s">
        <v>607</v>
      </c>
      <c r="B29" s="43"/>
      <c r="C29" s="43"/>
      <c r="D29" s="43"/>
      <c r="E29" s="44"/>
    </row>
  </sheetData>
  <mergeCells count="15">
    <mergeCell ref="A1:E1"/>
    <mergeCell ref="A14:E14"/>
    <mergeCell ref="B28:E28"/>
    <mergeCell ref="A17:E17"/>
    <mergeCell ref="A24:C24"/>
    <mergeCell ref="A2:E2"/>
    <mergeCell ref="A23:C23"/>
    <mergeCell ref="A7:E7"/>
    <mergeCell ref="A25:E25"/>
    <mergeCell ref="A11:E11"/>
    <mergeCell ref="B26:E26"/>
    <mergeCell ref="A29:E29"/>
    <mergeCell ref="A4:E4"/>
    <mergeCell ref="B27:E27"/>
    <mergeCell ref="A20:E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E30"/>
  <sheetViews>
    <sheetView tabSelected="1" topLeftCell="A22" zoomScaleNormal="100" workbookViewId="0">
      <selection activeCell="B30" sqref="B30"/>
    </sheetView>
  </sheetViews>
  <sheetFormatPr baseColWidth="10" defaultColWidth="8.5" defaultRowHeight="19"/>
  <cols>
    <col min="1" max="1" width="22" style="10" customWidth="1"/>
    <col min="2" max="2" width="55" style="10" customWidth="1"/>
    <col min="3" max="3" width="38" style="10" customWidth="1"/>
    <col min="4" max="4" width="6" style="10" customWidth="1"/>
    <col min="5" max="5" width="10" style="10" customWidth="1"/>
    <col min="6" max="7" width="8.5" style="10" customWidth="1"/>
    <col min="8" max="16384" width="8.5" style="10"/>
  </cols>
  <sheetData>
    <row r="1" spans="1:5">
      <c r="A1" s="59" t="s">
        <v>608</v>
      </c>
      <c r="B1" s="60"/>
      <c r="C1" s="60"/>
      <c r="D1" s="60"/>
      <c r="E1" s="60"/>
    </row>
    <row r="2" spans="1:5">
      <c r="A2" s="58" t="s">
        <v>220</v>
      </c>
      <c r="B2" s="54"/>
      <c r="C2" s="54"/>
      <c r="D2" s="54"/>
      <c r="E2" s="54"/>
    </row>
    <row r="3" spans="1: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5">
      <c r="A4" s="56" t="s">
        <v>609</v>
      </c>
      <c r="B4" s="54"/>
      <c r="C4" s="55"/>
      <c r="D4" s="12">
        <v>35</v>
      </c>
      <c r="E4" s="13"/>
    </row>
    <row r="5" spans="1:5" ht="133" customHeight="1">
      <c r="A5" s="14" t="s">
        <v>73</v>
      </c>
      <c r="B5" s="14" t="s">
        <v>610</v>
      </c>
      <c r="C5" s="14" t="s">
        <v>611</v>
      </c>
      <c r="D5" s="15">
        <v>12</v>
      </c>
      <c r="E5" s="14" t="s">
        <v>11</v>
      </c>
    </row>
    <row r="6" spans="1:5" ht="152" customHeight="1">
      <c r="A6" s="16" t="s">
        <v>73</v>
      </c>
      <c r="B6" s="16" t="s">
        <v>612</v>
      </c>
      <c r="C6" s="16" t="s">
        <v>613</v>
      </c>
      <c r="D6" s="17">
        <v>10</v>
      </c>
      <c r="E6" s="16" t="s">
        <v>11</v>
      </c>
    </row>
    <row r="7" spans="1:5" ht="152" customHeight="1">
      <c r="A7" s="14" t="s">
        <v>73</v>
      </c>
      <c r="B7" s="14" t="s">
        <v>614</v>
      </c>
      <c r="C7" s="14" t="s">
        <v>615</v>
      </c>
      <c r="D7" s="15">
        <v>8</v>
      </c>
      <c r="E7" s="14" t="s">
        <v>11</v>
      </c>
    </row>
    <row r="8" spans="1:5" ht="152" customHeight="1">
      <c r="A8" s="16" t="s">
        <v>73</v>
      </c>
      <c r="B8" s="16" t="s">
        <v>616</v>
      </c>
      <c r="C8" s="16" t="s">
        <v>617</v>
      </c>
      <c r="D8" s="17">
        <v>5</v>
      </c>
      <c r="E8" s="16" t="s">
        <v>11</v>
      </c>
    </row>
    <row r="9" spans="1:5">
      <c r="A9" s="56" t="s">
        <v>618</v>
      </c>
      <c r="B9" s="54"/>
      <c r="C9" s="55"/>
      <c r="D9" s="12">
        <v>20</v>
      </c>
      <c r="E9" s="13"/>
    </row>
    <row r="10" spans="1:5" ht="133" customHeight="1">
      <c r="A10" s="14" t="s">
        <v>182</v>
      </c>
      <c r="B10" s="14" t="s">
        <v>619</v>
      </c>
      <c r="C10" s="14" t="s">
        <v>620</v>
      </c>
      <c r="D10" s="15">
        <v>10</v>
      </c>
      <c r="E10" s="14" t="s">
        <v>15</v>
      </c>
    </row>
    <row r="11" spans="1:5" ht="152" customHeight="1">
      <c r="A11" s="16" t="s">
        <v>182</v>
      </c>
      <c r="B11" s="16" t="s">
        <v>621</v>
      </c>
      <c r="C11" s="16" t="s">
        <v>622</v>
      </c>
      <c r="D11" s="17">
        <v>10</v>
      </c>
      <c r="E11" s="16" t="s">
        <v>15</v>
      </c>
    </row>
    <row r="12" spans="1:5">
      <c r="A12" s="56" t="s">
        <v>623</v>
      </c>
      <c r="B12" s="54"/>
      <c r="C12" s="55"/>
      <c r="D12" s="12">
        <v>15</v>
      </c>
      <c r="E12" s="13"/>
    </row>
    <row r="13" spans="1:5" ht="152" customHeight="1">
      <c r="A13" s="14" t="s">
        <v>624</v>
      </c>
      <c r="B13" s="14" t="s">
        <v>625</v>
      </c>
      <c r="C13" s="14" t="s">
        <v>626</v>
      </c>
      <c r="D13" s="15">
        <v>8</v>
      </c>
      <c r="E13" s="14" t="s">
        <v>15</v>
      </c>
    </row>
    <row r="14" spans="1:5" ht="133" customHeight="1">
      <c r="A14" s="16" t="s">
        <v>624</v>
      </c>
      <c r="B14" s="16" t="s">
        <v>627</v>
      </c>
      <c r="C14" s="16" t="s">
        <v>628</v>
      </c>
      <c r="D14" s="17">
        <v>7</v>
      </c>
      <c r="E14" s="16" t="s">
        <v>15</v>
      </c>
    </row>
    <row r="15" spans="1:5">
      <c r="A15" s="56" t="s">
        <v>629</v>
      </c>
      <c r="B15" s="54"/>
      <c r="C15" s="55"/>
      <c r="D15" s="12">
        <v>10</v>
      </c>
      <c r="E15" s="13"/>
    </row>
    <row r="16" spans="1:5" ht="152" customHeight="1">
      <c r="A16" s="14" t="s">
        <v>196</v>
      </c>
      <c r="B16" s="14" t="s">
        <v>630</v>
      </c>
      <c r="C16" s="14" t="s">
        <v>631</v>
      </c>
      <c r="D16" s="15">
        <v>6</v>
      </c>
      <c r="E16" s="14" t="s">
        <v>22</v>
      </c>
    </row>
    <row r="17" spans="1:5" ht="171" customHeight="1">
      <c r="A17" s="16" t="s">
        <v>196</v>
      </c>
      <c r="B17" s="16" t="s">
        <v>632</v>
      </c>
      <c r="C17" s="16" t="s">
        <v>633</v>
      </c>
      <c r="D17" s="17">
        <v>4</v>
      </c>
      <c r="E17" s="16" t="s">
        <v>11</v>
      </c>
    </row>
    <row r="18" spans="1:5">
      <c r="A18" s="56" t="s">
        <v>253</v>
      </c>
      <c r="B18" s="54"/>
      <c r="C18" s="55"/>
      <c r="D18" s="12">
        <v>10</v>
      </c>
      <c r="E18" s="13"/>
    </row>
    <row r="19" spans="1:5" ht="152" customHeight="1">
      <c r="A19" s="14" t="s">
        <v>105</v>
      </c>
      <c r="B19" s="14" t="s">
        <v>634</v>
      </c>
      <c r="C19" s="14" t="s">
        <v>635</v>
      </c>
      <c r="D19" s="15">
        <v>6</v>
      </c>
      <c r="E19" s="14" t="s">
        <v>11</v>
      </c>
    </row>
    <row r="20" spans="1:5" ht="133" customHeight="1">
      <c r="A20" s="16" t="s">
        <v>105</v>
      </c>
      <c r="B20" s="16" t="s">
        <v>636</v>
      </c>
      <c r="C20" s="16" t="s">
        <v>637</v>
      </c>
      <c r="D20" s="17">
        <v>4</v>
      </c>
      <c r="E20" s="16" t="s">
        <v>11</v>
      </c>
    </row>
    <row r="21" spans="1:5">
      <c r="A21" s="56" t="s">
        <v>638</v>
      </c>
      <c r="B21" s="54"/>
      <c r="C21" s="55"/>
      <c r="D21" s="12">
        <v>10</v>
      </c>
      <c r="E21" s="13"/>
    </row>
    <row r="22" spans="1:5" ht="152" customHeight="1">
      <c r="A22" s="14" t="s">
        <v>639</v>
      </c>
      <c r="B22" s="14" t="s">
        <v>640</v>
      </c>
      <c r="C22" s="14" t="s">
        <v>641</v>
      </c>
      <c r="D22" s="15">
        <v>6</v>
      </c>
      <c r="E22" s="14" t="s">
        <v>15</v>
      </c>
    </row>
    <row r="23" spans="1:5" ht="133" customHeight="1">
      <c r="A23" s="16" t="s">
        <v>639</v>
      </c>
      <c r="B23" s="16" t="s">
        <v>642</v>
      </c>
      <c r="C23" s="16" t="s">
        <v>643</v>
      </c>
      <c r="D23" s="17">
        <v>4</v>
      </c>
      <c r="E23" s="16" t="s">
        <v>22</v>
      </c>
    </row>
    <row r="24" spans="1:5">
      <c r="A24" s="53" t="s">
        <v>61</v>
      </c>
      <c r="B24" s="54"/>
      <c r="C24" s="55"/>
      <c r="D24" s="18">
        <v>100</v>
      </c>
      <c r="E24" s="19"/>
    </row>
    <row r="25" spans="1:5">
      <c r="A25" s="57" t="s">
        <v>108</v>
      </c>
      <c r="B25" s="54"/>
      <c r="C25" s="54"/>
      <c r="D25" s="54"/>
      <c r="E25" s="54"/>
    </row>
    <row r="26" spans="1:5" ht="83" customHeight="1">
      <c r="A26" s="113" t="s">
        <v>109</v>
      </c>
      <c r="B26" s="114" t="s">
        <v>644</v>
      </c>
      <c r="C26" s="111"/>
      <c r="D26" s="111"/>
      <c r="E26" s="111"/>
    </row>
    <row r="27" spans="1:5" ht="83" customHeight="1">
      <c r="A27" s="115" t="s">
        <v>111</v>
      </c>
      <c r="B27" s="116" t="s">
        <v>645</v>
      </c>
      <c r="C27" s="111"/>
      <c r="D27" s="111"/>
      <c r="E27" s="111"/>
    </row>
    <row r="28" spans="1:5" ht="93" customHeight="1">
      <c r="A28" s="117" t="s">
        <v>113</v>
      </c>
      <c r="B28" s="118" t="s">
        <v>646</v>
      </c>
      <c r="C28" s="111"/>
      <c r="D28" s="111"/>
      <c r="E28" s="111"/>
    </row>
    <row r="29" spans="1:5" ht="4" customHeight="1">
      <c r="A29" s="35"/>
      <c r="B29" s="36"/>
      <c r="C29" s="34"/>
      <c r="D29" s="34"/>
      <c r="E29" s="34"/>
    </row>
    <row r="30" spans="1:5">
      <c r="A30" s="20"/>
      <c r="B30" s="20"/>
    </row>
  </sheetData>
  <mergeCells count="13">
    <mergeCell ref="B28:E28"/>
    <mergeCell ref="A24:C24"/>
    <mergeCell ref="A15:C15"/>
    <mergeCell ref="A1:E1"/>
    <mergeCell ref="A9:C9"/>
    <mergeCell ref="A21:C21"/>
    <mergeCell ref="A12:C12"/>
    <mergeCell ref="A4:C4"/>
    <mergeCell ref="B26:E26"/>
    <mergeCell ref="B27:E27"/>
    <mergeCell ref="A2:E2"/>
    <mergeCell ref="A25:E25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topLeftCell="A19" workbookViewId="0">
      <selection activeCell="A24" sqref="A24:XFD24"/>
    </sheetView>
  </sheetViews>
  <sheetFormatPr baseColWidth="10" defaultColWidth="8.83203125" defaultRowHeight="18"/>
  <cols>
    <col min="1" max="1" width="26" style="22" customWidth="1"/>
    <col min="2" max="2" width="52" style="22" customWidth="1"/>
    <col min="3" max="3" width="40" style="22" customWidth="1"/>
    <col min="4" max="4" width="9" style="22" customWidth="1"/>
    <col min="5" max="5" width="11" style="22" customWidth="1"/>
    <col min="6" max="6" width="8.83203125" style="22" customWidth="1"/>
    <col min="7" max="16384" width="8.83203125" style="22"/>
  </cols>
  <sheetData>
    <row r="1" spans="1:5">
      <c r="A1" s="48" t="s">
        <v>647</v>
      </c>
      <c r="B1" s="43"/>
      <c r="C1" s="43"/>
      <c r="D1" s="43"/>
      <c r="E1" s="44"/>
    </row>
    <row r="2" spans="1:5">
      <c r="A2" s="46" t="s">
        <v>648</v>
      </c>
      <c r="B2" s="43"/>
      <c r="C2" s="43"/>
      <c r="D2" s="43"/>
      <c r="E2" s="44"/>
    </row>
    <row r="3" spans="1:5" ht="19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pans="1:5">
      <c r="A4" s="45" t="s">
        <v>649</v>
      </c>
      <c r="B4" s="43"/>
      <c r="C4" s="43"/>
      <c r="D4" s="43"/>
      <c r="E4" s="44"/>
    </row>
    <row r="5" spans="1:5" ht="133" customHeight="1">
      <c r="A5" s="23" t="s">
        <v>650</v>
      </c>
      <c r="B5" s="24" t="s">
        <v>651</v>
      </c>
      <c r="C5" s="25" t="s">
        <v>652</v>
      </c>
      <c r="D5" s="26">
        <v>15</v>
      </c>
      <c r="E5" s="27" t="s">
        <v>15</v>
      </c>
    </row>
    <row r="6" spans="1:5" ht="114" customHeight="1">
      <c r="A6" s="28" t="s">
        <v>653</v>
      </c>
      <c r="B6" s="29" t="s">
        <v>621</v>
      </c>
      <c r="C6" s="25" t="s">
        <v>654</v>
      </c>
      <c r="D6" s="30">
        <v>15</v>
      </c>
      <c r="E6" s="27" t="s">
        <v>15</v>
      </c>
    </row>
    <row r="7" spans="1:5">
      <c r="A7" s="45" t="s">
        <v>655</v>
      </c>
      <c r="B7" s="43"/>
      <c r="C7" s="43"/>
      <c r="D7" s="43"/>
      <c r="E7" s="44"/>
    </row>
    <row r="8" spans="1:5" ht="114" customHeight="1">
      <c r="A8" s="23" t="s">
        <v>656</v>
      </c>
      <c r="B8" s="24" t="s">
        <v>657</v>
      </c>
      <c r="C8" s="25" t="s">
        <v>658</v>
      </c>
      <c r="D8" s="26">
        <v>12</v>
      </c>
      <c r="E8" s="27" t="s">
        <v>11</v>
      </c>
    </row>
    <row r="9" spans="1:5" ht="95" customHeight="1">
      <c r="A9" s="28" t="s">
        <v>659</v>
      </c>
      <c r="B9" s="29" t="s">
        <v>660</v>
      </c>
      <c r="C9" s="25" t="s">
        <v>661</v>
      </c>
      <c r="D9" s="30">
        <v>10</v>
      </c>
      <c r="E9" s="27" t="s">
        <v>11</v>
      </c>
    </row>
    <row r="10" spans="1:5" ht="95" customHeight="1">
      <c r="A10" s="23" t="s">
        <v>662</v>
      </c>
      <c r="B10" s="24" t="s">
        <v>663</v>
      </c>
      <c r="C10" s="25" t="s">
        <v>664</v>
      </c>
      <c r="D10" s="26">
        <v>3</v>
      </c>
      <c r="E10" s="27" t="s">
        <v>11</v>
      </c>
    </row>
    <row r="11" spans="1:5">
      <c r="A11" s="45" t="s">
        <v>279</v>
      </c>
      <c r="B11" s="43"/>
      <c r="C11" s="43"/>
      <c r="D11" s="43"/>
      <c r="E11" s="44"/>
    </row>
    <row r="12" spans="1:5" ht="133" customHeight="1">
      <c r="A12" s="28" t="s">
        <v>665</v>
      </c>
      <c r="B12" s="29" t="s">
        <v>666</v>
      </c>
      <c r="C12" s="25" t="s">
        <v>667</v>
      </c>
      <c r="D12" s="30">
        <v>12</v>
      </c>
      <c r="E12" s="27" t="s">
        <v>11</v>
      </c>
    </row>
    <row r="13" spans="1:5" ht="114" customHeight="1">
      <c r="A13" s="23" t="s">
        <v>668</v>
      </c>
      <c r="B13" s="24" t="s">
        <v>669</v>
      </c>
      <c r="C13" s="25" t="s">
        <v>670</v>
      </c>
      <c r="D13" s="26">
        <v>8</v>
      </c>
      <c r="E13" s="27" t="s">
        <v>11</v>
      </c>
    </row>
    <row r="14" spans="1:5">
      <c r="A14" s="45" t="s">
        <v>671</v>
      </c>
      <c r="B14" s="43"/>
      <c r="C14" s="43"/>
      <c r="D14" s="43"/>
      <c r="E14" s="44"/>
    </row>
    <row r="15" spans="1:5" ht="133" customHeight="1">
      <c r="A15" s="28" t="s">
        <v>672</v>
      </c>
      <c r="B15" s="29" t="s">
        <v>673</v>
      </c>
      <c r="C15" s="25" t="s">
        <v>674</v>
      </c>
      <c r="D15" s="30">
        <v>7</v>
      </c>
      <c r="E15" s="27" t="s">
        <v>11</v>
      </c>
    </row>
    <row r="16" spans="1:5" ht="133" customHeight="1">
      <c r="A16" s="23" t="s">
        <v>675</v>
      </c>
      <c r="B16" s="24" t="s">
        <v>676</v>
      </c>
      <c r="C16" s="25" t="s">
        <v>677</v>
      </c>
      <c r="D16" s="26">
        <v>3</v>
      </c>
      <c r="E16" s="27" t="s">
        <v>22</v>
      </c>
    </row>
    <row r="17" spans="1:5">
      <c r="A17" s="45" t="s">
        <v>678</v>
      </c>
      <c r="B17" s="43"/>
      <c r="C17" s="43"/>
      <c r="D17" s="43"/>
      <c r="E17" s="44"/>
    </row>
    <row r="18" spans="1:5" ht="133" customHeight="1">
      <c r="A18" s="28" t="s">
        <v>679</v>
      </c>
      <c r="B18" s="29" t="s">
        <v>680</v>
      </c>
      <c r="C18" s="25" t="s">
        <v>681</v>
      </c>
      <c r="D18" s="30">
        <v>6</v>
      </c>
      <c r="E18" s="27" t="s">
        <v>11</v>
      </c>
    </row>
    <row r="19" spans="1:5" ht="114" customHeight="1">
      <c r="A19" s="23" t="s">
        <v>682</v>
      </c>
      <c r="B19" s="24" t="s">
        <v>683</v>
      </c>
      <c r="C19" s="25" t="s">
        <v>684</v>
      </c>
      <c r="D19" s="26">
        <v>4</v>
      </c>
      <c r="E19" s="27" t="s">
        <v>22</v>
      </c>
    </row>
    <row r="20" spans="1:5">
      <c r="A20" s="45" t="s">
        <v>685</v>
      </c>
      <c r="B20" s="43"/>
      <c r="C20" s="43"/>
      <c r="D20" s="43"/>
      <c r="E20" s="44"/>
    </row>
    <row r="21" spans="1:5" ht="133" customHeight="1">
      <c r="A21" s="23" t="s">
        <v>686</v>
      </c>
      <c r="B21" s="24" t="s">
        <v>687</v>
      </c>
      <c r="C21" s="25" t="s">
        <v>688</v>
      </c>
      <c r="D21" s="26">
        <v>3</v>
      </c>
      <c r="E21" s="27" t="s">
        <v>15</v>
      </c>
    </row>
    <row r="22" spans="1:5" ht="114" customHeight="1">
      <c r="A22" s="28" t="s">
        <v>689</v>
      </c>
      <c r="B22" s="29" t="s">
        <v>690</v>
      </c>
      <c r="C22" s="25" t="s">
        <v>691</v>
      </c>
      <c r="D22" s="30">
        <v>2</v>
      </c>
      <c r="E22" s="27" t="s">
        <v>22</v>
      </c>
    </row>
    <row r="23" spans="1:5">
      <c r="A23" s="42" t="s">
        <v>61</v>
      </c>
      <c r="B23" s="43"/>
      <c r="C23" s="44"/>
      <c r="D23" s="21">
        <v>100</v>
      </c>
      <c r="E23" s="31"/>
    </row>
    <row r="24" spans="1:5">
      <c r="A24" s="50"/>
      <c r="B24" s="43"/>
      <c r="C24" s="44"/>
      <c r="D24" s="32"/>
      <c r="E24" s="33"/>
    </row>
    <row r="25" spans="1:5">
      <c r="A25" s="51" t="s">
        <v>62</v>
      </c>
      <c r="B25" s="43"/>
      <c r="C25" s="43"/>
      <c r="D25" s="43"/>
      <c r="E25" s="44"/>
    </row>
    <row r="26" spans="1:5" ht="19" customHeight="1">
      <c r="A26" s="26" t="s">
        <v>63</v>
      </c>
      <c r="B26" s="47" t="s">
        <v>692</v>
      </c>
      <c r="C26" s="43"/>
      <c r="D26" s="43"/>
      <c r="E26" s="44"/>
    </row>
    <row r="27" spans="1:5" ht="19" customHeight="1">
      <c r="A27" s="26" t="s">
        <v>65</v>
      </c>
      <c r="B27" s="47" t="s">
        <v>693</v>
      </c>
      <c r="C27" s="43"/>
      <c r="D27" s="43"/>
      <c r="E27" s="44"/>
    </row>
    <row r="28" spans="1:5" ht="19" customHeight="1">
      <c r="A28" s="26" t="s">
        <v>67</v>
      </c>
      <c r="B28" s="47" t="s">
        <v>694</v>
      </c>
      <c r="C28" s="43"/>
      <c r="D28" s="43"/>
      <c r="E28" s="44"/>
    </row>
    <row r="29" spans="1:5">
      <c r="A29" s="49" t="s">
        <v>695</v>
      </c>
      <c r="B29" s="43"/>
      <c r="C29" s="43"/>
      <c r="D29" s="43"/>
      <c r="E29" s="44"/>
    </row>
  </sheetData>
  <mergeCells count="15">
    <mergeCell ref="A1:E1"/>
    <mergeCell ref="A14:E14"/>
    <mergeCell ref="B28:E28"/>
    <mergeCell ref="A17:E17"/>
    <mergeCell ref="A24:C24"/>
    <mergeCell ref="A2:E2"/>
    <mergeCell ref="A23:C23"/>
    <mergeCell ref="A7:E7"/>
    <mergeCell ref="A25:E25"/>
    <mergeCell ref="A11:E11"/>
    <mergeCell ref="B26:E26"/>
    <mergeCell ref="A29:E29"/>
    <mergeCell ref="A4:E4"/>
    <mergeCell ref="B27:E27"/>
    <mergeCell ref="A20:E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FF"/>
  </sheetPr>
  <dimension ref="A1:E35"/>
  <sheetViews>
    <sheetView topLeftCell="A5" zoomScaleNormal="100" workbookViewId="0">
      <selection activeCell="F11" sqref="F11"/>
    </sheetView>
  </sheetViews>
  <sheetFormatPr baseColWidth="10" defaultColWidth="8.5" defaultRowHeight="19"/>
  <cols>
    <col min="1" max="1" width="26" style="1" customWidth="1"/>
    <col min="2" max="2" width="52" style="1" customWidth="1"/>
    <col min="3" max="3" width="36" style="1" customWidth="1"/>
    <col min="4" max="4" width="9" style="1" customWidth="1"/>
    <col min="5" max="5" width="11" style="1" customWidth="1"/>
    <col min="6" max="7" width="8.5" style="1" customWidth="1"/>
    <col min="8" max="16384" width="8.5" style="1"/>
  </cols>
  <sheetData>
    <row r="1" spans="1:5" ht="18.75" customHeight="1">
      <c r="A1" s="66" t="s">
        <v>696</v>
      </c>
      <c r="B1" s="63"/>
      <c r="C1" s="63"/>
      <c r="D1" s="63"/>
      <c r="E1" s="63"/>
    </row>
    <row r="2" spans="1:5" ht="48.5" customHeight="1">
      <c r="A2" s="64" t="s">
        <v>697</v>
      </c>
      <c r="B2" s="63"/>
      <c r="C2" s="63"/>
      <c r="D2" s="63"/>
      <c r="E2" s="63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62" t="s">
        <v>698</v>
      </c>
      <c r="B4" s="63"/>
      <c r="C4" s="63"/>
      <c r="D4" s="3">
        <v>30</v>
      </c>
    </row>
    <row r="5" spans="1:5" ht="75.75" customHeight="1">
      <c r="A5" s="4" t="s">
        <v>699</v>
      </c>
      <c r="B5" s="5" t="s">
        <v>700</v>
      </c>
      <c r="C5" s="6" t="s">
        <v>701</v>
      </c>
      <c r="D5" s="7">
        <v>10</v>
      </c>
      <c r="E5" s="8" t="s">
        <v>11</v>
      </c>
    </row>
    <row r="6" spans="1:5" ht="75.75" customHeight="1">
      <c r="A6" s="4" t="s">
        <v>699</v>
      </c>
      <c r="B6" s="5" t="s">
        <v>702</v>
      </c>
      <c r="C6" s="6" t="s">
        <v>703</v>
      </c>
      <c r="D6" s="7">
        <v>8</v>
      </c>
      <c r="E6" s="8" t="s">
        <v>11</v>
      </c>
    </row>
    <row r="7" spans="1:5" ht="75.75" customHeight="1">
      <c r="A7" s="4" t="s">
        <v>699</v>
      </c>
      <c r="B7" s="5" t="s">
        <v>704</v>
      </c>
      <c r="C7" s="6" t="s">
        <v>705</v>
      </c>
      <c r="D7" s="7">
        <v>5</v>
      </c>
      <c r="E7" s="8" t="s">
        <v>11</v>
      </c>
    </row>
    <row r="8" spans="1:5" ht="75.75" customHeight="1">
      <c r="A8" s="4" t="s">
        <v>699</v>
      </c>
      <c r="B8" s="5" t="s">
        <v>706</v>
      </c>
      <c r="C8" s="6" t="s">
        <v>707</v>
      </c>
      <c r="D8" s="7">
        <v>4</v>
      </c>
      <c r="E8" s="8" t="s">
        <v>11</v>
      </c>
    </row>
    <row r="9" spans="1:5" ht="57" customHeight="1">
      <c r="A9" s="4" t="s">
        <v>699</v>
      </c>
      <c r="B9" s="5" t="s">
        <v>708</v>
      </c>
      <c r="C9" s="6" t="s">
        <v>709</v>
      </c>
      <c r="D9" s="7">
        <v>3</v>
      </c>
      <c r="E9" s="8" t="s">
        <v>11</v>
      </c>
    </row>
    <row r="10" spans="1:5">
      <c r="A10" s="62" t="s">
        <v>710</v>
      </c>
      <c r="B10" s="63"/>
      <c r="C10" s="63"/>
      <c r="D10" s="3">
        <v>25</v>
      </c>
    </row>
    <row r="11" spans="1:5" ht="57" customHeight="1">
      <c r="A11" s="4" t="s">
        <v>89</v>
      </c>
      <c r="B11" s="5" t="s">
        <v>711</v>
      </c>
      <c r="C11" s="6" t="s">
        <v>712</v>
      </c>
      <c r="D11" s="7">
        <v>8</v>
      </c>
      <c r="E11" s="8" t="s">
        <v>11</v>
      </c>
    </row>
    <row r="12" spans="1:5" ht="57" customHeight="1">
      <c r="A12" s="4" t="s">
        <v>89</v>
      </c>
      <c r="B12" s="5" t="s">
        <v>713</v>
      </c>
      <c r="C12" s="6" t="s">
        <v>714</v>
      </c>
      <c r="D12" s="7">
        <v>7</v>
      </c>
      <c r="E12" s="8" t="s">
        <v>11</v>
      </c>
    </row>
    <row r="13" spans="1:5" ht="57" customHeight="1">
      <c r="A13" s="4" t="s">
        <v>89</v>
      </c>
      <c r="B13" s="5" t="s">
        <v>715</v>
      </c>
      <c r="C13" s="6" t="s">
        <v>716</v>
      </c>
      <c r="D13" s="7">
        <v>6</v>
      </c>
      <c r="E13" s="8" t="s">
        <v>11</v>
      </c>
    </row>
    <row r="14" spans="1:5" ht="75.75" customHeight="1">
      <c r="A14" s="4" t="s">
        <v>89</v>
      </c>
      <c r="B14" s="5" t="s">
        <v>717</v>
      </c>
      <c r="C14" s="6" t="s">
        <v>718</v>
      </c>
      <c r="D14" s="7">
        <v>4</v>
      </c>
      <c r="E14" s="8" t="s">
        <v>11</v>
      </c>
    </row>
    <row r="15" spans="1:5">
      <c r="A15" s="62" t="s">
        <v>719</v>
      </c>
      <c r="B15" s="63"/>
      <c r="C15" s="63"/>
      <c r="D15" s="3">
        <v>20</v>
      </c>
    </row>
    <row r="16" spans="1:5" ht="57" customHeight="1">
      <c r="A16" s="4" t="s">
        <v>720</v>
      </c>
      <c r="B16" s="5" t="s">
        <v>721</v>
      </c>
      <c r="C16" s="6" t="s">
        <v>722</v>
      </c>
      <c r="D16" s="7">
        <v>8</v>
      </c>
      <c r="E16" s="8" t="s">
        <v>11</v>
      </c>
    </row>
    <row r="17" spans="1:5" ht="75.75" customHeight="1">
      <c r="A17" s="4" t="s">
        <v>720</v>
      </c>
      <c r="B17" s="5" t="s">
        <v>723</v>
      </c>
      <c r="C17" s="6" t="s">
        <v>724</v>
      </c>
      <c r="D17" s="7">
        <v>8</v>
      </c>
      <c r="E17" s="9" t="s">
        <v>22</v>
      </c>
    </row>
    <row r="18" spans="1:5" ht="75.75" customHeight="1">
      <c r="A18" s="4" t="s">
        <v>720</v>
      </c>
      <c r="B18" s="5" t="s">
        <v>725</v>
      </c>
      <c r="C18" s="6" t="s">
        <v>726</v>
      </c>
      <c r="D18" s="7">
        <v>4</v>
      </c>
      <c r="E18" s="9" t="s">
        <v>22</v>
      </c>
    </row>
    <row r="19" spans="1:5">
      <c r="A19" s="62" t="s">
        <v>727</v>
      </c>
      <c r="B19" s="63"/>
      <c r="C19" s="63"/>
      <c r="D19" s="3">
        <v>15</v>
      </c>
    </row>
    <row r="20" spans="1:5" ht="57" customHeight="1">
      <c r="A20" s="4" t="s">
        <v>728</v>
      </c>
      <c r="B20" s="5" t="s">
        <v>729</v>
      </c>
      <c r="C20" s="6" t="s">
        <v>730</v>
      </c>
      <c r="D20" s="7">
        <v>4</v>
      </c>
      <c r="E20" s="8" t="s">
        <v>11</v>
      </c>
    </row>
    <row r="21" spans="1:5" ht="75.75" customHeight="1">
      <c r="A21" s="4" t="s">
        <v>728</v>
      </c>
      <c r="B21" s="5" t="s">
        <v>731</v>
      </c>
      <c r="C21" s="6" t="s">
        <v>732</v>
      </c>
      <c r="D21" s="7">
        <v>3</v>
      </c>
      <c r="E21" s="8" t="s">
        <v>11</v>
      </c>
    </row>
    <row r="22" spans="1:5" ht="75.75" customHeight="1">
      <c r="A22" s="4" t="s">
        <v>728</v>
      </c>
      <c r="B22" s="5" t="s">
        <v>733</v>
      </c>
      <c r="C22" s="6" t="s">
        <v>734</v>
      </c>
      <c r="D22" s="7">
        <v>3</v>
      </c>
      <c r="E22" s="8" t="s">
        <v>11</v>
      </c>
    </row>
    <row r="23" spans="1:5" ht="57" customHeight="1">
      <c r="A23" s="4" t="s">
        <v>728</v>
      </c>
      <c r="B23" s="5" t="s">
        <v>735</v>
      </c>
      <c r="C23" s="6" t="s">
        <v>736</v>
      </c>
      <c r="D23" s="7">
        <v>3</v>
      </c>
      <c r="E23" s="8" t="s">
        <v>11</v>
      </c>
    </row>
    <row r="24" spans="1:5" ht="57" customHeight="1">
      <c r="A24" s="4" t="s">
        <v>728</v>
      </c>
      <c r="B24" s="5" t="s">
        <v>737</v>
      </c>
      <c r="C24" s="6" t="s">
        <v>738</v>
      </c>
      <c r="D24" s="7">
        <v>2</v>
      </c>
      <c r="E24" s="8" t="s">
        <v>11</v>
      </c>
    </row>
    <row r="25" spans="1:5">
      <c r="A25" s="62" t="s">
        <v>739</v>
      </c>
      <c r="B25" s="63"/>
      <c r="C25" s="63"/>
      <c r="D25" s="3">
        <v>10</v>
      </c>
    </row>
    <row r="26" spans="1:5" ht="94.5" customHeight="1">
      <c r="A26" s="4" t="s">
        <v>740</v>
      </c>
      <c r="B26" s="5" t="s">
        <v>741</v>
      </c>
      <c r="C26" s="6" t="s">
        <v>742</v>
      </c>
      <c r="D26" s="7">
        <v>5</v>
      </c>
      <c r="E26" s="8" t="s">
        <v>11</v>
      </c>
    </row>
    <row r="27" spans="1:5" ht="75.75" customHeight="1">
      <c r="A27" s="4" t="s">
        <v>740</v>
      </c>
      <c r="B27" s="5" t="s">
        <v>743</v>
      </c>
      <c r="C27" s="6" t="s">
        <v>744</v>
      </c>
      <c r="D27" s="7">
        <v>3</v>
      </c>
      <c r="E27" s="8" t="s">
        <v>11</v>
      </c>
    </row>
    <row r="28" spans="1:5" ht="75.75" customHeight="1">
      <c r="A28" s="4" t="s">
        <v>740</v>
      </c>
      <c r="B28" s="5" t="s">
        <v>745</v>
      </c>
      <c r="C28" s="6" t="s">
        <v>746</v>
      </c>
      <c r="D28" s="7">
        <v>2</v>
      </c>
      <c r="E28" s="8" t="s">
        <v>11</v>
      </c>
    </row>
    <row r="29" spans="1:5">
      <c r="A29" s="68" t="s">
        <v>61</v>
      </c>
      <c r="B29" s="63"/>
      <c r="C29" s="63"/>
      <c r="D29" s="3">
        <f>D5+D6+D7+D8+D9+D11+D12+D13+D14+D16+D17+D18+D20+D21+D22+D23+D24+D26+D27+D28</f>
        <v>100</v>
      </c>
    </row>
    <row r="31" spans="1:5">
      <c r="A31" s="62" t="s">
        <v>108</v>
      </c>
      <c r="B31" s="63"/>
      <c r="C31" s="63"/>
      <c r="D31" s="63"/>
      <c r="E31" s="63"/>
    </row>
    <row r="32" spans="1:5" ht="50" customHeight="1">
      <c r="A32" s="37" t="s">
        <v>109</v>
      </c>
      <c r="B32" s="69" t="s">
        <v>747</v>
      </c>
      <c r="C32" s="63"/>
      <c r="D32" s="63"/>
      <c r="E32" s="63"/>
    </row>
    <row r="33" spans="1:5" ht="50" customHeight="1">
      <c r="A33" s="38" t="s">
        <v>111</v>
      </c>
      <c r="B33" s="65" t="s">
        <v>748</v>
      </c>
      <c r="C33" s="63"/>
      <c r="D33" s="63"/>
      <c r="E33" s="63"/>
    </row>
    <row r="34" spans="1:5" ht="50" customHeight="1">
      <c r="A34" s="39" t="s">
        <v>113</v>
      </c>
      <c r="B34" s="67" t="s">
        <v>749</v>
      </c>
      <c r="C34" s="63"/>
      <c r="D34" s="63"/>
      <c r="E34" s="63"/>
    </row>
    <row r="35" spans="1:5" ht="4" customHeight="1">
      <c r="A35" s="40"/>
      <c r="B35" s="41"/>
    </row>
  </sheetData>
  <mergeCells count="12">
    <mergeCell ref="A1:E1"/>
    <mergeCell ref="B34:E34"/>
    <mergeCell ref="A15:C15"/>
    <mergeCell ref="A4:C4"/>
    <mergeCell ref="A31:E31"/>
    <mergeCell ref="A29:C29"/>
    <mergeCell ref="B32:E32"/>
    <mergeCell ref="A10:C10"/>
    <mergeCell ref="A25:C25"/>
    <mergeCell ref="A19:C19"/>
    <mergeCell ref="A2:E2"/>
    <mergeCell ref="B33:E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 BAV</vt:lpstr>
      <vt:lpstr>BAV Prog</vt:lpstr>
      <vt:lpstr>25 HCM</vt:lpstr>
      <vt:lpstr>HCM Prog</vt:lpstr>
      <vt:lpstr>36 DCM</vt:lpstr>
      <vt:lpstr>DCM Prog</vt:lpstr>
      <vt:lpstr>40 Kawasaki</vt:lpstr>
      <vt:lpstr>Kawasaki Prog</vt:lpstr>
      <vt:lpstr>56 PAH</vt:lpstr>
      <vt:lpstr>PAH Prog</vt:lpstr>
      <vt:lpstr>59 LQTS</vt:lpstr>
      <vt:lpstr>LQTS Prog</vt:lpstr>
      <vt:lpstr>80 Pulmonary Valve RVOT</vt:lpstr>
      <vt:lpstr>RVOT Prog</vt:lpstr>
      <vt:lpstr>Maternal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Chou</dc:creator>
  <cp:lastModifiedBy>timothy chou</cp:lastModifiedBy>
  <cp:revision>0</cp:revision>
  <dcterms:created xsi:type="dcterms:W3CDTF">2025-06-26T16:36:59Z</dcterms:created>
  <dcterms:modified xsi:type="dcterms:W3CDTF">2026-06-05T21:52:17Z</dcterms:modified>
  <dc:language>en-US</dc:language>
</cp:coreProperties>
</file>