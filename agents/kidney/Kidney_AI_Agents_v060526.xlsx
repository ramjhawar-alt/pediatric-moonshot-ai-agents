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tim12951/Documents/My Documents/BevelCloud/Company/Track 4/Nephrology/"/>
    </mc:Choice>
  </mc:AlternateContent>
  <xr:revisionPtr revIDLastSave="0" documentId="13_ncr:1_{1CDD7015-3FF0-9347-8136-AB3281DE97C2}" xr6:coauthVersionLast="47" xr6:coauthVersionMax="47" xr10:uidLastSave="{00000000-0000-0000-0000-000000000000}"/>
  <bookViews>
    <workbookView xWindow="0" yWindow="500" windowWidth="33600" windowHeight="18900" activeTab="10" xr2:uid="{00000000-000D-0000-FFFF-FFFF00000000}"/>
  </bookViews>
  <sheets>
    <sheet name="#2 FSGS Primary" sheetId="1" r:id="rId1"/>
    <sheet name="FSGS Primary Prog" sheetId="2" r:id="rId2"/>
    <sheet name="#3 FSGS Secondary" sheetId="3" r:id="rId3"/>
    <sheet name="FSGS Secondary Prog" sheetId="4" r:id="rId4"/>
    <sheet name="#6 IgAN" sheetId="5" r:id="rId5"/>
    <sheet name="IgAN Prog" sheetId="6" r:id="rId6"/>
    <sheet name="#110 aHUS" sheetId="7" r:id="rId7"/>
    <sheet name="aHUS Prog" sheetId="8" r:id="rId8"/>
    <sheet name="#4 APOL1" sheetId="9" r:id="rId9"/>
    <sheet name="APOL1 Prog" sheetId="10" r:id="rId10"/>
    <sheet name="#10 C3G" sheetId="11" r:id="rId11"/>
    <sheet name="C3G Prog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2" l="1"/>
  <c r="D21" i="11"/>
  <c r="D20" i="10"/>
  <c r="D19" i="9"/>
  <c r="D23" i="8"/>
  <c r="D20" i="7"/>
  <c r="D23" i="6"/>
  <c r="D25" i="5"/>
  <c r="D21" i="4"/>
  <c r="D26" i="3"/>
  <c r="D23" i="2"/>
  <c r="D26" i="1"/>
</calcChain>
</file>

<file path=xl/sharedStrings.xml><?xml version="1.0" encoding="utf-8"?>
<sst xmlns="http://schemas.openxmlformats.org/spreadsheetml/2006/main" count="839" uniqueCount="524">
  <si>
    <t>FSGS — Primary (Immune/Genetic)  AI Agent</t>
  </si>
  <si>
    <t>Primary FSGS  |  Podocyte-intrinsic injury from immune dysregulation, circulating permeability factor, or germline podocyte gene mutation  |  Points reflect diagnostic weight. Cost: Small = standard labs/exam  |  Medium = genetic panel ($200–$1,500)  |  Large = renal biopsy ($3,000–$10,000+)</t>
  </si>
  <si>
    <t>Domain</t>
  </si>
  <si>
    <t>Question</t>
  </si>
  <si>
    <t>Confirming Answer</t>
  </si>
  <si>
    <t>Pts</t>
  </si>
  <si>
    <t>Cost</t>
  </si>
  <si>
    <t>CLINICAL PRESENTATION — NEPHROTIC PATTERN — 28 pts</t>
  </si>
  <si>
    <t>Clinical Presentation</t>
  </si>
  <si>
    <t>Is proteinuria in the full nephrotic range (urine PCR &gt;3.0 mg/mg or 24-hr protein &gt;3.5 g/day)?</t>
  </si>
  <si>
    <t>Yes — nephrotic-range proteinuria confirmed; hallmark of primary FSGS with diffuse podocyte injury</t>
  </si>
  <si>
    <t>Small</t>
  </si>
  <si>
    <t>Is there hypoalbuminemia (&lt;3.0 g/dL) with peripheral or generalized edema on physical exam?</t>
  </si>
  <si>
    <t>Yes — nephrotic syndrome confirmed: heavy proteinuria + hypoalbuminemia + edema triad</t>
  </si>
  <si>
    <t>Is onset acute or subacute (weeks to months) in a child or young adult without an identifiable secondary cause?</t>
  </si>
  <si>
    <t>Yes — age-appropriate abrupt onset consistent with primary podocyte injury or circulating permeability factor</t>
  </si>
  <si>
    <t>Is gross hematuria absent? (absence supports FSGS over nephritis; microscopic hematuria may be present)</t>
  </si>
  <si>
    <t>Confirmed absent — no gross hematuria; supports nephrotic rather than nephritic pattern</t>
  </si>
  <si>
    <t>RENAL BIOPSY — LIGHT MICROSCOPY — 20 pts</t>
  </si>
  <si>
    <t>Biopsy — LM</t>
  </si>
  <si>
    <t>Is focal segmental glomerulosclerosis confirmed on light microscopy (segmental sclerosis in &lt;50% of glomeruli)?</t>
  </si>
  <si>
    <t>Yes — FSGS pattern confirmed by pathologist; DEFINITIVE histologic diagnosis</t>
  </si>
  <si>
    <t>Large</t>
  </si>
  <si>
    <t>Biopsy — Variant</t>
  </si>
  <si>
    <t>Is the FSGS variant tip, NOS (not otherwise specified), or cellular on light microscopy? (these variants favor primary over secondary FSGS)</t>
  </si>
  <si>
    <t>Yes — tip or NOS/cellular variant confirmed; strongly associated with primary immune-mediated FSGS; steroid responsiveness higher in tip variant</t>
  </si>
  <si>
    <t>RENAL BIOPSY — ELECTRON MICROSCOPY — 18 pts</t>
  </si>
  <si>
    <t>Biopsy — EM</t>
  </si>
  <si>
    <t>Is foot process effacement diffuse (&gt;80% of the glomerular capillary surface) on electron microscopy?</t>
  </si>
  <si>
    <t>Yes — extensive diffuse foot process effacement confirmed; pathognomonic for primary podocyte injury or circulating permeability factor</t>
  </si>
  <si>
    <t>RENAL BIOPSY — IMMUNOFLUORESCENCE — 6 pts</t>
  </si>
  <si>
    <t>Biopsy — IF</t>
  </si>
  <si>
    <t>Is immunofluorescence negative or shows only nonspecific IgM/C3 in sclerotic segments (no dominant immune deposits)?</t>
  </si>
  <si>
    <t>Yes — IF negative or nonspecific; confirms primary FSGS and excludes immune-mediated GN (lupus, IgAN, MPGN)</t>
  </si>
  <si>
    <t>GENETIC TESTING — PODOCYTE GENES — 14 pts</t>
  </si>
  <si>
    <t>Genetic Testing</t>
  </si>
  <si>
    <t>Has genetic testing identified a pathogenic or likely pathogenic variant in a podocyte gene (NPHS1/nephrin, NPHS2/podocin, CD2AP, WT1, TRPC6, INF2, ACTN4)?</t>
  </si>
  <si>
    <t>Yes — P/LP podocyte gene variant confirmed; genetic FSGS; steroid resistance expected; cascade family screening indicated</t>
  </si>
  <si>
    <t>Medium</t>
  </si>
  <si>
    <t>Are two APOL1 high-risk alleles (G1/G1, G1/G2, or G2/G2) confirmed in a patient of African ancestry? (collapsing variant association)</t>
  </si>
  <si>
    <t>Yes — APOL1 high-risk genotype confirmed; strongly associated with collapsing or NOS variant of primary FSGS</t>
  </si>
  <si>
    <t>LABORATORY FINDINGS — 8 pts</t>
  </si>
  <si>
    <t>Labs</t>
  </si>
  <si>
    <t>Are serum C3 and C4 complement levels normal? (normal complement excludes immune-complex GN; supports primary FSGS)</t>
  </si>
  <si>
    <t>Yes — C3 and C4 normal; complement-mediated GN excluded</t>
  </si>
  <si>
    <t>Are oval fat bodies or fatty casts present on urine microscopy (lipiduria)?</t>
  </si>
  <si>
    <t>Yes — oval fat bodies or fatty casts confirmed; reflects heavy urinary lipid loss in nephrotic syndrome</t>
  </si>
  <si>
    <t>Is serum albumin &lt;2.5 g/dL (severe hypoalbuminemia from urinary losses)?</t>
  </si>
  <si>
    <t>Yes — severe hypoalbuminemia confirmed; reflects massive urinary protein loss characteristic of primary FSGS</t>
  </si>
  <si>
    <t>RESPONSE TO IMMUNOSUPPRESSION — 6 pts</t>
  </si>
  <si>
    <t>Treatment Response</t>
  </si>
  <si>
    <t>Has the patient been trialed on corticosteroids (prednisone 1 mg/kg/day x 4 weeks minimum) and is the response (complete, partial, or steroid-resistant) documented?</t>
  </si>
  <si>
    <t>Yes — steroid trial documented; steroid resistance (no remission after 4 weeks) is a defining feature of primary genetic FSGS; steroid sensitivity supports MCD vs. FSGS distinction</t>
  </si>
  <si>
    <t>TOTAL</t>
  </si>
  <si>
    <t>CONFIDENCE SCORE INTERPRETATION</t>
  </si>
  <si>
    <t>🔴  80–100</t>
  </si>
  <si>
    <t>High confidence — Primary FSGS confirmed; initiate corticosteroid trial if not done; steroid-resistant cases: add calcineurin inhibitor (tacrolimus or cyclosporine) ± MMF; consider rituximab for steroid/CNI-resistant disease; sparsentan (FDA approved 2023) for persistent proteinuria; genetic testing mandatory in all pediatric and young-adult cases</t>
  </si>
  <si>
    <t>🟡  50–79</t>
  </si>
  <si>
    <t>Moderate confidence — Probable primary FSGS; renal biopsy required for confirmation and variant classification; avoid immunosuppression until histology confirmed; rule out minimal change disease (diffuse FPE without segmental sclerosis on LM) which may precede or mimic FSGS</t>
  </si>
  <si>
    <t>🟢  &lt;50</t>
  </si>
  <si>
    <t>Low confidence — Primary FSGS insufficiently supported; consider secondary FSGS (perihilar variant, sub-nephrotic proteinuria, BMI &gt;30, prior nephron loss) or alternative glomerular disease; ensure EM is performed to assess foot process effacement extent before concluding</t>
  </si>
  <si>
    <t>FSGS Primary Progression Framework — Pediatric Moonshot</t>
  </si>
  <si>
    <t>Primary (Immune/Genetic) FSGS  |  100-Point Adverse Prognostic Score  |  KDIGO 2021 Glomerular Disease Guidelines / NephCure FSGS Guidelines  |  Progression Trajectory: Fast / Moderate / Slow</t>
  </si>
  <si>
    <t>TREATMENT RESPONSE AND PROTEINURIA — 35 pts</t>
  </si>
  <si>
    <t>Is the patient steroid-resistant (no remission after ≥4 weeks of adequate prednisone dose)?</t>
  </si>
  <si>
    <t>Yes — steroid-resistant primary FSGS confirmed; requires second-line immunosuppression; highest ESRD risk subgroup</t>
  </si>
  <si>
    <t>Proteinuria on Therapy</t>
  </si>
  <si>
    <t>Is proteinuria &gt;3.0 g/day (PCR &gt;3.0) despite ≥3 months of combined immunosuppression (CNI + MMF or rituximab)?</t>
  </si>
  <si>
    <t>Yes — refractory nephrotic-range proteinuria on maximal immunosuppression; poor prognosis confirmed</t>
  </si>
  <si>
    <t>Remission Status</t>
  </si>
  <si>
    <t>Has the patient achieved only partial remission (proteinuria reduced but PCR still 0.3–3.0 mg/mg) on current therapy?</t>
  </si>
  <si>
    <t>Yes — partial remission; some protection against ESRD but residual progression risk remains; optimize therapy</t>
  </si>
  <si>
    <t>KIDNEY FUNCTION TRAJECTORY — 20 pts</t>
  </si>
  <si>
    <t>eGFR Level</t>
  </si>
  <si>
    <t>Is eGFR &lt;30 mL/min/1.73m² (CKD Stage 4) or has the patient reached ESRD requiring dialysis?</t>
  </si>
  <si>
    <t>Yes — severely reduced eGFR or ESRD; primary FSGS with steroid resistance has 50% ESRD rate within 10 years</t>
  </si>
  <si>
    <t>eGFR Decline Rate</t>
  </si>
  <si>
    <t>Is annualized eGFR decline &gt;5 mL/min/1.73m²/year confirmed on serial measurements?</t>
  </si>
  <si>
    <t>Yes — rapid progressive CKD confirmed; ESRD trajectory without treatment change</t>
  </si>
  <si>
    <t>HISTOPATHOLOGIC SEVERITY — 20 pts</t>
  </si>
  <si>
    <t>Variant — Collapsing</t>
  </si>
  <si>
    <t>Is the FSGS variant collapsing on biopsy? (worst prognosis; strongly associated with APOL1 high-risk genotype or HIV)</t>
  </si>
  <si>
    <t>Yes — collapsing FSGS confirmed; 50–70% ESRD within 3 years; APOL1 genotyping mandatory if not done</t>
  </si>
  <si>
    <t>Chronicity</t>
  </si>
  <si>
    <t>Is there significant tubular atrophy or interstitial fibrosis (&gt;25% of cortex) on biopsy?</t>
  </si>
  <si>
    <t>Yes — chronic irreversible nephron loss confirmed; limits expected treatment response</t>
  </si>
  <si>
    <t>Global Sclerosis</t>
  </si>
  <si>
    <t>Is &gt;25% of glomeruli globally sclerosed on light microscopy?</t>
  </si>
  <si>
    <t>Yes — advanced glomerular dropout confirmed; reduced therapeutic target mass</t>
  </si>
  <si>
    <t>GENETIC RISK AMPLIFIERS — 10 pts</t>
  </si>
  <si>
    <t>APOL1 Genotype</t>
  </si>
  <si>
    <t>Are two APOL1 high-risk alleles confirmed (G1/G1, G1/G2, or G2/G2) in a patient of African ancestry?</t>
  </si>
  <si>
    <t>Yes — APOL1 high-risk genotype; doubles ESRD risk above baseline primary FSGS; collapsing variant expected</t>
  </si>
  <si>
    <t>Podocyte Gene Mutation</t>
  </si>
  <si>
    <t>Is there a pathogenic variant in NPHS2 (podocin) or WT1 — genes associated with rapidly progressive steroid-resistant disease?</t>
  </si>
  <si>
    <t>Yes — high-risk podocyte gene mutation confirmed; nearly universal steroid resistance; early transplant planning indicated</t>
  </si>
  <si>
    <t>COMORBIDITIES — 15 pts</t>
  </si>
  <si>
    <t>BP Control</t>
  </si>
  <si>
    <t>Is BP persistently &gt;140/90 mmHg despite ≥3 antihypertensives including maximum-dose RAS blockade?</t>
  </si>
  <si>
    <t>Yes — refractory hypertension on maximal therapy; major ESRD accelerator in primary FSGS</t>
  </si>
  <si>
    <t>Thromboembolism</t>
  </si>
  <si>
    <t>Is there a history of venous thromboembolism (DVT, PE, or renal vein thrombosis) related to nephrotic syndrome?</t>
  </si>
  <si>
    <t>Yes — nephrotic-related thrombosis confirmed; full anticoagulation required; indicates severe hypoalbuminemia</t>
  </si>
  <si>
    <t>Infection Risk</t>
  </si>
  <si>
    <t>Has the patient had ≥1 serious infection (pneumococcal peritonitis, cellulitis, sepsis) related to immunosuppression or hypoalbuminemia?</t>
  </si>
  <si>
    <t>Yes — serious immunosuppression- or nephrotic-related infection confirmed; risk-benefit of continued treatment requires reassessment</t>
  </si>
  <si>
    <t>PROGRESSION SCORE INTERPRETATION</t>
  </si>
  <si>
    <t>66–100</t>
  </si>
  <si>
    <t>🔴 Fast Progression — Steroid/CNI resistance + refractory nephrotic proteinuria + rapid eGFR decline + collapsing variant or APOL1 high-risk; enroll in clinical trial (sparsentan, LNP023, or inaxaplin if APOL1); nephrology referral for transplant evaluation; living-donor APOL1 genotyping; aggressive BP control &lt;120/80 mmHg</t>
  </si>
  <si>
    <t>21–65</t>
  </si>
  <si>
    <t>🟡 Moderate Progression — Partial remission or moderate CKD with trajectory concern; optimize immunosuppression (escalate CNI dose, switch to rituximab); add sparsentan for persistent proteinuria; SGLT-2 inhibitor for renoprotection; 3-month nephrology follow-up; reassess APOL1 and podocyte gene status</t>
  </si>
  <si>
    <t>0–20</t>
  </si>
  <si>
    <t>🟢 Slow Progression — Complete or near-complete remission on therapy; preserved eGFR; low-risk histology; maintain current immunosuppression with gradual taper; annual urine PCR and eGFR; favorable long-term trajectory; 10-year ESRD risk &lt;10% in complete remission</t>
  </si>
  <si>
    <t>KDIGO 2021 Glomerular Disease Guidelines  |  D'Agati et al. JASN 2011 (FSGS variants and prognosis)  |  Kopp et al. JASN 2011 (APOL1 and collapsing FSGS)  |  Rheault et al. NEJM 2023 (sparsentan in primary FSGS)  |  Trachtman et al. NEJM 2011 (FSGS Clinical Trial)  |  Gbadegesin et al. Kidney Int 2012 (podocyte gene mutations)  |  Hinkes et al. Nature Med 2007 (NPHS2 in steroid-resistant FSGS)</t>
  </si>
  <si>
    <t>FSGS — Secondary (Adaptive/Hyperfiltration)  AI Agent</t>
  </si>
  <si>
    <t>Secondary FSGS  |  Adaptive glomerular response to hyperfiltration from obesity, reduced nephron mass, sickle cell, reflux, or prior renal injury  |  Points reflect diagnostic weight. Cost: Small = standard labs/exam  |  Medium = targeted workup ($200–$1,500)  |  Large = renal biopsy ($3,000–$10,000+)  |  KEY DISTINCTION: sub-nephrotic proteinuria, perihilar variant on biopsy, focal foot process effacement on EM — immunosuppression NOT indicated.</t>
  </si>
  <si>
    <t>CLINICAL PRESENTATION — SUB-NEPHROTIC PATTERN — 24 pts</t>
  </si>
  <si>
    <t>Is proteinuria in the sub-nephrotic range (urine PCR 0.5–3.0 mg/mg or 24-hr protein 1–3.5 g/day)?</t>
  </si>
  <si>
    <t>Yes — sub-nephrotic proteinuria confirmed; typical of secondary FSGS from hyperfiltration rather than primary podocyte injury</t>
  </si>
  <si>
    <t>Is serum albumin normal or only mildly reduced (≥3.0 g/dL) despite significant proteinuria?</t>
  </si>
  <si>
    <t>Yes — preserved albumin with sub-nephrotic proteinuria; distinguishes secondary FSGS from primary nephrotic syndrome</t>
  </si>
  <si>
    <t>Is onset insidious, discovered incidentally on routine urinalysis or labs rather than symptomatic nephrotic presentation?</t>
  </si>
  <si>
    <t>Yes — gradual asymptomatic onset consistent with adaptive hyperfiltration injury rather than acute podocyte collapse</t>
  </si>
  <si>
    <t>SECONDARY CAUSE IDENTIFICATION — 30 pts</t>
  </si>
  <si>
    <t>Obesity</t>
  </si>
  <si>
    <t>Is there morbid obesity (BMI ≥35) or significant weight gain temporally associated with onset of proteinuria?</t>
  </si>
  <si>
    <t>Yes — obesity-related FSGS confirmed as primary driver; most common cause of secondary FSGS worldwide</t>
  </si>
  <si>
    <t>Reduced Nephron Mass</t>
  </si>
  <si>
    <t>Is there a documented history of solitary kidney, nephrectomy, prior renal transplant with reduced mass, renal dysplasia, or oligomeganephronia?</t>
  </si>
  <si>
    <t>Yes — reduced nephron mass confirmed; compensatory hyperfiltration in remaining nephrons drives adaptive FSGS</t>
  </si>
  <si>
    <t>Sickle Cell / Hemoglobinopathy</t>
  </si>
  <si>
    <t>Is there sickle cell disease (HbSS, HbSC) or sickle trait with documented sickle cell nephropathy?</t>
  </si>
  <si>
    <t>Yes — sickle cell nephropathy confirmed; medullary infarction + hyperfiltration drive glomerular injury and FSGS</t>
  </si>
  <si>
    <t>Vesicoureteral Reflux / Reflux Nephropathy</t>
  </si>
  <si>
    <t>Is there a history of vesicoureteral reflux (VUR Grade 3–5) or reflux nephropathy with renal scarring on imaging?</t>
  </si>
  <si>
    <t>Yes — reflux nephropathy confirmed; focal renal scarring reduces functional nephron mass causing hyperfiltration FSGS</t>
  </si>
  <si>
    <t>RENAL BIOPSY — LIGHT MICROSCOPY — 18 pts</t>
  </si>
  <si>
    <t>Is focal segmental glomerulosclerosis confirmed on light microscopy (segmental sclerosis &lt;50% of glomeruli)?</t>
  </si>
  <si>
    <t>Yes — FSGS pattern on LM confirmed; histologic diagnosis established</t>
  </si>
  <si>
    <t>Biopsy — Perihilar Variant</t>
  </si>
  <si>
    <t>Is the FSGS variant perihilar (sclerosis at the hilum with hyalinosis) on light microscopy? (perihilar is the hallmark of secondary/adaptive FSGS)</t>
  </si>
  <si>
    <t>Yes — perihilar variant confirmed; PATHOGNOMONIC for adaptive hyperfiltration FSGS; strongly supports secondary etiology</t>
  </si>
  <si>
    <t>RENAL BIOPSY — ELECTRON MICROSCOPY — 15 pts</t>
  </si>
  <si>
    <t>Biopsy — EM Foot Process</t>
  </si>
  <si>
    <t>Is foot process effacement focal and partial (&lt;50% of glomerular capillary surface) on electron microscopy?</t>
  </si>
  <si>
    <t>Yes — focal/partial foot process effacement confirmed; distinguishes secondary FSGS (focal) from primary FSGS (diffuse &gt;80%); key EM differentiator</t>
  </si>
  <si>
    <t>Biopsy — Glomerulomegaly</t>
  </si>
  <si>
    <t>Is there glomerulomegaly (enlarged glomerular tuft area &gt;2 standard deviations above normal for age) on light microscopy?</t>
  </si>
  <si>
    <t>Yes — glomerulomegaly confirmed; reflects compensatory hypertrophy from reduced nephron mass; supports adaptive FSGS diagnosis</t>
  </si>
  <si>
    <t>LABORATORY AND IMAGING FINDINGS — 10 pts</t>
  </si>
  <si>
    <t>Renal Imaging</t>
  </si>
  <si>
    <t>Does renal ultrasound or CT show asymmetric kidney size, cortical thinning, or scarring consistent with reduced nephron mass?</t>
  </si>
  <si>
    <t>Yes — structural renal abnormality confirmed on imaging; supports reduced nephron mass as driver of adaptive FSGS</t>
  </si>
  <si>
    <t>Are serum C3 and C4 complement levels normal and autoimmune serology (ANA, ANCA, anti-GBM) negative?</t>
  </si>
  <si>
    <t>Yes — immune-mediated GN excluded; supports non-immune adaptive etiology</t>
  </si>
  <si>
    <t>Is serum albumin ≥3.0 g/dL despite documented proteinuria (preserved synthetic function consistent with sub-nephrotic state)?</t>
  </si>
  <si>
    <t>Yes — preserved albumin with sub-nephrotic proteinuria; reinforces secondary rather than primary FSGS pattern</t>
  </si>
  <si>
    <t>EXCLUSION OF PRIMARY FSGS — 3 pts</t>
  </si>
  <si>
    <t>Exclusion</t>
  </si>
  <si>
    <t>Is there no pathogenic podocyte gene variant identified on genetic testing (NPHS1, NPHS2, WT1, TRPC6, CD2AP, INF2, ACTN4)?</t>
  </si>
  <si>
    <t>Yes — genetic primary FSGS excluded; podocyte gene panel negative</t>
  </si>
  <si>
    <t>High confidence — Secondary adaptive FSGS confirmed; TREAT THE CAUSE not the kidney: weight loss program for obesity-FSGS (target BMI &lt;30; bariatric surgery if BMI &gt;40); ACE inhibitor or ARB mandatory (proteinuria reduction and glomerular pressure lowering); SGLT-2 inhibitor for additive renoprotection; DO NOT initiate corticosteroids or immunosuppression — harmful in secondary FSGS</t>
  </si>
  <si>
    <t>Moderate confidence — Probable secondary FSGS; renal biopsy required to confirm perihilar variant and focal foot process effacement; identify and treat underlying cause before initiating any therapy; measure proteinuria response to RAS blockade over 3 months</t>
  </si>
  <si>
    <t>Low confidence — Secondary FSGS insufficiently supported; consider primary FSGS (diffuse FPE, nephrotic presentation, tip/cellular variant) or other glomerular diseases; ensure all secondary causes have been systematically evaluated before pursuing immunosuppression</t>
  </si>
  <si>
    <t>FSGS Secondary Progression Framework — Pediatric Moonshot</t>
  </si>
  <si>
    <t>Secondary (Adaptive/Hyperfiltration) FSGS  |  100-Point Adverse Prognostic Score  |  KDIGO 2021 Glomerular Disease Guidelines / Obesity-Related Glomerulopathy Consensus  |  Progression Trajectory: Fast / Moderate / Slow</t>
  </si>
  <si>
    <t>PRIMARY CAUSE CONTROL — 30 pts</t>
  </si>
  <si>
    <t>Cause Control — Obesity</t>
  </si>
  <si>
    <t>In obesity-related FSGS: is BMI still ≥35 or has weight loss achieved &lt;10% from peak weight?</t>
  </si>
  <si>
    <t>Yes — insufficient weight reduction; obesity drive of hyperfiltration persists; proteinuria will not remit without sustained weight loss</t>
  </si>
  <si>
    <t>Cause Control — Nephron Mass</t>
  </si>
  <si>
    <t>In reduced-nephron-mass FSGS: is the solitary/reduced kidney experiencing progressive CKD without compensatory treatment?</t>
  </si>
  <si>
    <t>Yes — nephron mass cannot be restored; lifelong RAS blockade and proteinuria minimization are the primary interventions</t>
  </si>
  <si>
    <t>Cause Control — Sickle Cell / Reflux</t>
  </si>
  <si>
    <t>In sickle cell or reflux nephropathy FSGS: is the underlying disease inadequately controlled (active sickling crises or ongoing reflux without surgical correction)?</t>
  </si>
  <si>
    <t>Yes — underlying driver uncontrolled; FSGS progression will continue without disease-specific management</t>
  </si>
  <si>
    <t>PROTEINURIA RESPONSE TO RAS BLOCKADE — 25 pts</t>
  </si>
  <si>
    <t>RAS Blockade Response</t>
  </si>
  <si>
    <t>Is proteinuria &gt;1 g/day (PCR &gt;1.0 mg/mg) despite ≥3 months of maximum-tolerated ACE inhibitor or ARB dose?</t>
  </si>
  <si>
    <t>Yes — inadequate proteinuria response to RAS blockade; add SGLT-2 inhibitor; reassess cause control; consider sparsentan</t>
  </si>
  <si>
    <t>Proteinuria Trend</t>
  </si>
  <si>
    <t>Has proteinuria increased ≥50% from baseline over ≥6 months despite optimized RAS blockade?</t>
  </si>
  <si>
    <t>Yes — worsening proteinuria trajectory on therapy; underlying hyperfiltration burden increasing; escalate cause control urgently</t>
  </si>
  <si>
    <t>Is eGFR &lt;45 mL/min/1.73m² (CKD Stage 3b) or declining below estimated nephron reserve for the underlying structural defect?</t>
  </si>
  <si>
    <t>Yes — significant CKD confirmed; nephron reserve critically reduced; transplant planning may be needed</t>
  </si>
  <si>
    <t>Is annualized eGFR decline &gt;3 mL/min/1.73m²/year confirmed on ≥3 serial measurements?</t>
  </si>
  <si>
    <t>Yes — progressive CKD trajectory; secondary FSGS typically progresses more slowly than primary if cause controlled; rate &gt;3 indicates inadequate cause management</t>
  </si>
  <si>
    <t>HISTOPATHOLOGIC CHRONICITY — 15 pts</t>
  </si>
  <si>
    <t>Tubular Atrophy / Fibrosis</t>
  </si>
  <si>
    <t>Is there significant tubular atrophy or interstitial fibrosis (&gt;25% of cortex) on renal biopsy?</t>
  </si>
  <si>
    <t>Yes — chronic irreversible nephron loss confirmed; limits benefit from cause control interventions</t>
  </si>
  <si>
    <t>Is &gt;30% of glomeruli globally sclerosed on biopsy, reflecting advanced adaptive glomerulosclerosis?</t>
  </si>
  <si>
    <t>Yes — extensive glomerular dropout; functional nephron mass critically reduced; aggressive cause control and BP management required</t>
  </si>
  <si>
    <t>CARDIOVASCULAR AND METABOLIC RISK — 10 pts</t>
  </si>
  <si>
    <t>Is BP persistently ≥140/90 mmHg despite ≥3 antihypertensive agents including RAS blockade?</t>
  </si>
  <si>
    <t>Yes — uncontrolled hypertension; major CKD progression accelerator; target &lt;130/80 mmHg per KDIGO</t>
  </si>
  <si>
    <t>Metabolic Syndrome</t>
  </si>
  <si>
    <t>Is there coexisting metabolic syndrome (diabetes, hypertriglyceridemia, insulin resistance) amplifying hyperfiltration injury?</t>
  </si>
  <si>
    <t>Yes — metabolic syndrome confirmed; multiple hyperfiltration drivers present; SGLT-2 inhibitor addresses both CKD and metabolic risk</t>
  </si>
  <si>
    <t>🔴 Fast Progression — Uncontrolled primary cause + proteinuria &gt;1 g/day on RAS blockade + rapid eGFR decline + advanced histologic chronicity; urgent cause control (bariatric surgery referral for obesity; sickle cell disease-modifying therapy; surgical correction of reflux); maximum RAS blockade + SGLT-2 inhibitor + sparsentan; transplant evaluation if eGFR &lt;20</t>
  </si>
  <si>
    <t>🟡 Moderate Progression — Partial cause control or moderate CKD with response to RAS blockade; optimize weight loss (≥10% from peak); maximum ACE/ARB dose; add SGLT-2 inhibitor; target BP &lt;130/80 mmHg; 3–6 month nephrology follow-up; reassess proteinuria response quarterly</t>
  </si>
  <si>
    <t>🟢 Slow Progression — Cause well controlled (weight loss achieved, reflux corrected, sickle cell managed) + proteinuria &lt;0.5 g/day on RAS blockade + stable eGFR; annual urine PCR, eGFR, and BP monitoring; favorable long-term trajectory; ESRD risk low if cause remains controlled</t>
  </si>
  <si>
    <t>KDIGO 2021 Glomerular Disease Guidelines  |  Praga et al. JASN 2001 (obesity FSGS)  |  Kambham et al. AJKD 2001 (obesity-related glomerulopathy)  |  Kasiske &amp; Crosson AJKD 1994 (reduced nephron mass and FSGS)  |  Bhathena JASN 2003 (sickle cell nephropathy)  |  El Karoui et al. JASN 2011 (reflux nephropathy and FSGS)  |  Schmieder et al. Hypertension 2014 (RAS blockade in proteinuria)</t>
  </si>
  <si>
    <t>IgA Nephropathy (IgAN)  AI Agent</t>
  </si>
  <si>
    <t>Each domain question draws from the complete medical record. Points reflect diagnostic weight. Cost reflects typical test burden: Small = existing record / standard labs  |  Medium = targeted test or genetic panel ($200–$1,500)  |  Large = biopsy or advanced testing ($1,500–$10,000+)</t>
  </si>
  <si>
    <t>CLINICAL PRESENTATION — 35 pts</t>
  </si>
  <si>
    <t>Is there episodic gross hematuria (cola/dark urine) concurrent with or within 1–3 days of an upper respiratory infection (synpharyngitic pattern)?</t>
  </si>
  <si>
    <t>Yes — synpharyngitic hematuria confirmed; onset during or within 1–3 days of URI</t>
  </si>
  <si>
    <t>Is persistent microscopic hematuria (≥3 RBC/HPF) documented on ≥2 separate urinalysis reports?</t>
  </si>
  <si>
    <t>Yes — persistent glomerular hematuria confirmed on serial UA</t>
  </si>
  <si>
    <t>Is there sub-nephrotic proteinuria (0.5–3.5 g/24hr or PCR 0.5–3.0 mg/mg)?</t>
  </si>
  <si>
    <t>Yes — sub-nephrotic proteinuria in typical IgAN range</t>
  </si>
  <si>
    <t>TIMING AND URI TRIGGERS — 20 pts</t>
  </si>
  <si>
    <t>Timing / Triggers</t>
  </si>
  <si>
    <t>Does temporal documentation confirm hematuria onset within 1–3 days of URI (distinguishing IgAN from post-strep GN at 2–4 weeks)?</t>
  </si>
  <si>
    <t>Yes — interval ≤3 days confirmed in clinical notes; IgAN-consistent timing</t>
  </si>
  <si>
    <t>Are there ≥2 documented episodes of URI-triggered hematuria in the clinical record?</t>
  </si>
  <si>
    <t>Yes — recurrent URI-triggered hematuria pattern confirmed</t>
  </si>
  <si>
    <t>DEMOGRAPHICS — 5 pts</t>
  </si>
  <si>
    <t>Demographics</t>
  </si>
  <si>
    <t>Is the patient a young adult (age 15–35 years at onset), with male predominance?</t>
  </si>
  <si>
    <t>Yes — age 15–35 at first presentation; high-probability IgAN demographic</t>
  </si>
  <si>
    <t>LABORATORY FINDINGS — 24 pts</t>
  </si>
  <si>
    <t>Is serum IgA level elevated (&gt;400 mg/dL on immunoglobulin panel)?</t>
  </si>
  <si>
    <t>Yes — serum IgA elevated; present in 30–50% of IgAN patients</t>
  </si>
  <si>
    <t>Are serum C3 and C4 complement levels both normal? (normal complement distinguishes IgAN from post-infectious GN and MPGN)</t>
  </si>
  <si>
    <t>Yes — C3 and C4 normal; supports IgAN over post-infectious or complement-mediated GN</t>
  </si>
  <si>
    <t>Are RBC casts and/or dysmorphic RBCs confirmed on manual urine microscopy?</t>
  </si>
  <si>
    <t>Yes — dysmorphic RBCs or RBC casts confirm glomerular origin of hematuria</t>
  </si>
  <si>
    <t>SEROLOGY — DIFFERENTIAL EXCLUSIONS — 19 pts</t>
  </si>
  <si>
    <t>Serology / Exclusion</t>
  </si>
  <si>
    <t>Are ANCA (MPO/PR3) and anti-GBM antibodies both negative?</t>
  </si>
  <si>
    <t>Yes — ANCA-vasculitis and Goodpasture's disease excluded</t>
  </si>
  <si>
    <t>Are ANA and anti-dsDNA negative (excludes lupus nephritis)?</t>
  </si>
  <si>
    <t>Yes — lupus nephritis excluded; ANA &lt;1:80 and anti-dsDNA negative</t>
  </si>
  <si>
    <t>Is ASO titer normal with no recent group A streptococcal infection ≥3 weeks prior?</t>
  </si>
  <si>
    <t>Yes — post-streptococcal GN excluded; ASO normal and URI timing ≤3 days supports IgAN</t>
  </si>
  <si>
    <t>RENAL BIOPSY FINDINGS — 40 pts</t>
  </si>
  <si>
    <t>Renal Biopsy</t>
  </si>
  <si>
    <t>Is there dominant or codominant IgA staining (≥2+ brighter than all other immunoglobulins) in the mesangium on immunofluorescence?</t>
  </si>
  <si>
    <t>Yes — dominant mesangial IgA confirmed on IF; DEFINITIVE for IgAN diagnosis</t>
  </si>
  <si>
    <t>Is there mesangial hypercellularity on light microscopy (Oxford M1 score) and documented Oxford MEST-C score?</t>
  </si>
  <si>
    <t>Yes — mesangial proliferation confirmed; Oxford MEST-C score available for prognostication</t>
  </si>
  <si>
    <t>High confidence — IgAN confirmed or highly probable; initiate RAS blockade (ACE/ARB) targeting BP &lt;130/80 mmHg and proteinuria &lt;0.5 g/day; consider sparsentan (FDA approved 2023) for high-risk proteinuria; biopsy confirmation recommended for Oxford MEST-C prognostication and treatment decisions</t>
  </si>
  <si>
    <t>Moderate confidence — Probable IgAN; biopsy strongly recommended; begin RAS blockade and SGLT-2 inhibitor while awaiting histology; complete complement, ANCA, and ASO workup if not done</t>
  </si>
  <si>
    <t>Low confidence — IgAN unlikely or insufficient data; evaluate other causes of hematuria and proteinuria (post-infectious GN, ANCA vasculitis, thin basement membrane disease); complete serology and urinalysis workup</t>
  </si>
  <si>
    <t>IgAN Progression Framework — Pediatric Moonshot</t>
  </si>
  <si>
    <t>IgA Nephropathy  |  100-Point Adverse Prognostic Score  |  KDIGO 2021 Glomerular Disease Guidelines / IgAN Risk Prediction Tool (IgAN-RPT) / Oxford MEST-C Score  |  Progression Trajectory: Fast / Moderate / Slow</t>
  </si>
  <si>
    <t>PROTEINURIA — PRIMARY PROGRESSION DRIVER — 30 pts</t>
  </si>
  <si>
    <t>Proteinuria Level</t>
  </si>
  <si>
    <t>Is time-averaged proteinuria &gt;1 g/day (urine PCR &gt;1.0 mg/mg) over ≥6 months of follow-up?</t>
  </si>
  <si>
    <t>Yes — sustained high-grade proteinuria confirmed; strongest independent predictor of ESRD in IgAN</t>
  </si>
  <si>
    <t>Is proteinuria &gt;0.5 g/day despite ≥3 months of optimized RAS blockade (ACE inhibitor or ARB at maximum tolerated dose)?</t>
  </si>
  <si>
    <t>Yes — proteinuria not controlled on optimal RAS therapy; high-risk marker; add-on therapy indicated</t>
  </si>
  <si>
    <t>Has proteinuria increased ≥50% from baseline on serial measurements over ≥6 months?</t>
  </si>
  <si>
    <t>Yes — rising proteinuria trajectory; disease not in remission; treatment escalation required</t>
  </si>
  <si>
    <t>Is eGFR &lt;45 mL/min/1.73m² (CKD Stage 3b or worse) at presentation or follow-up?</t>
  </si>
  <si>
    <t>Yes — significantly reduced eGFR; IgAN patients with eGFR &lt;45 have 5-year ESRD risk &gt;30%</t>
  </si>
  <si>
    <t>Is annualized eGFR decline &gt;3 mL/min/1.73m²/year on serial measurements over ≥12 months?</t>
  </si>
  <si>
    <t>Yes — progressive CKD trajectory confirmed; below median IgAN decline rate; high ESRD risk</t>
  </si>
  <si>
    <t>OXFORD MEST-C HISTOLOGIC SCORE — 25 pts</t>
  </si>
  <si>
    <t>Oxford T Score</t>
  </si>
  <si>
    <t>Is there significant tubular atrophy/interstitial fibrosis (Oxford T1: 26–50% or T2: &gt;50% of cortical area)?</t>
  </si>
  <si>
    <t>Yes — Oxford T1 or T2 confirmed; tubular atrophy is the strongest histologic predictor of ESRD in IgAN</t>
  </si>
  <si>
    <t>Oxford M Score</t>
  </si>
  <si>
    <t>Is there mesangial hypercellularity (Oxford M1: &gt;50% of glomeruli with mesangial score &gt;2)?</t>
  </si>
  <si>
    <t>Yes — Oxford M1 confirmed; active mesangial proliferation indicating ongoing immune injury</t>
  </si>
  <si>
    <t>Oxford C Score</t>
  </si>
  <si>
    <t>Are crescents present (Oxford C1: ≥1 crescent in &lt;25%; C2: crescents in ≥25% of glomeruli)?</t>
  </si>
  <si>
    <t>Yes — crescentic IgAN confirmed; associated with rapid GFR decline; immunosuppression indicated</t>
  </si>
  <si>
    <t>HYPERTENSION — 10 pts</t>
  </si>
  <si>
    <t>Is systolic BP persistently ≥130 mmHg despite antihypertensive therapy including RAS blockade?</t>
  </si>
  <si>
    <t>Yes — uncontrolled hypertension confirmed; major modifiable progression driver in IgAN; target &lt;120 mmHg per 2024 KDIGO</t>
  </si>
  <si>
    <t>BIOMARKERS AND SEROLOGY — 10 pts</t>
  </si>
  <si>
    <t>Galactose-Deficient IgA1</t>
  </si>
  <si>
    <t>Is galactose-deficient IgA1 (Gd-IgA1) elevated on serum testing? (elevated in ~60–70% of IgAN)</t>
  </si>
  <si>
    <t>Yes — elevated Gd-IgA1 confirmed; underlying pathogenic mechanism active; predicts disease severity</t>
  </si>
  <si>
    <t>Hematuria Persistence</t>
  </si>
  <si>
    <t>Is microscopic hematuria persistent on serial urinalysis (≥3 RBC/HPF on ≥3 separate UA reports over ≥12 months)?</t>
  </si>
  <si>
    <t>Yes — persistent glomerular hematuria; correlates with ongoing endocapillary proliferation and disease activity</t>
  </si>
  <si>
    <t>GENETIC AND DEMOGRAPHIC RISK — 5 pts</t>
  </si>
  <si>
    <t>High-Risk Presentation</t>
  </si>
  <si>
    <t>Is the patient male with early-onset disease (&lt;25 years), nephrotic-range proteinuria at presentation, or hypertension at diagnosis?</t>
  </si>
  <si>
    <t>Yes — multiple baseline high-risk features confirmed; cumulative risk substantially elevated above IgAN average</t>
  </si>
  <si>
    <t>🔴 Fast Progression — Sustained proteinuria &gt;1 g/day + rapid eGFR decline + high Oxford MEST-C score (T1/T2 + crescents); initiate sparsentan (FDA approved 2023) or targeted-release budesonide (Nefecon); SGLT-2 inhibitor for additive renoprotection; nephrology follow-up every 3 months; transplant planning if eGFR &lt;20</t>
  </si>
  <si>
    <t>🟡 Moderate Progression — Proteinuria partially controlled or moderate CKD with stable trajectory; optimize RAS blockade to maximum tolerated dose; SGLT-2 inhibitor; reassess Oxford MEST-C and Gd-IgA1 biomarkers; 6-month nephrology follow-up</t>
  </si>
  <si>
    <t>🟢 Slow Progression — Proteinuria &lt;0.5 g/day on therapy; preserved eGFR; low Oxford T score; ACE/ARB maintenance; annual urine PCR and eGFR monitoring; favorable long-term trajectory; 20-year ESRD risk &lt;15%</t>
  </si>
  <si>
    <t>KDIGO 2021 Glomerular Disease Guidelines  |  Barbour et al. JASN 2017 (Oxford MEST-C validation)  |  Lv et al. JASN 2012 (proteinuria and ESRD in IgAN)  |  IgAN-RPT: Barbour et al. JASN 2019  |  TESTING Trial: Lv et al. JAMA 2017  |  PROTECT Trial: Heerspink et al. NEJM 2023 (sparsentan)  |  NeflgArd Trial: Barratt et al. NEJM 2023 (targeted budesonide)</t>
  </si>
  <si>
    <t>Atypical Hemolytic Uremic Syndrome (aHUS)  AI Agent</t>
  </si>
  <si>
    <t>Each domain question draws from the complete medical record. Points reflect diagnostic weight. Cost reflects typical test burden: Small = existing record / standard labs  |  Medium = targeted test ($200–$1,500)  |  Large = genetic or complement panel ($1,500–$5,000+)  |  ⚠ ADAMTS13 must be drawn BEFORE plasma exchange — most time-sensitive test in TMA.</t>
  </si>
  <si>
    <t>CLINICAL ASSESSMENT — TMA TRIAD — 25 pts</t>
  </si>
  <si>
    <t>TMA Triad</t>
  </si>
  <si>
    <t>Is microangiopathic hemolytic anemia (MAHA) confirmed? (Hgb &lt;10 g/dL + schistocytes &gt;1% on peripheral smear + elevated LDH + low haptoglobin)</t>
  </si>
  <si>
    <t>Yes — MAHA confirmed; all four TMA criteria present on CBC, smear, LDH, and haptoglobin</t>
  </si>
  <si>
    <t>Is thrombocytopenia present (platelets &lt;150,000/μL, preferably &lt;100,000/μL)?</t>
  </si>
  <si>
    <t>Yes — thrombocytopenia confirmed; essential TMA triad component</t>
  </si>
  <si>
    <t>Is severe acute kidney injury (AKI) present with oliguria/anuria, or has renal replacement therapy (dialysis) been initiated?</t>
  </si>
  <si>
    <t>Yes — severe AKI (KDIGO Stage 2–3) or dialysis-requiring confirmed</t>
  </si>
  <si>
    <t>CNS INVOLVEMENT — 8 pts</t>
  </si>
  <si>
    <t>CNS Involvement</t>
  </si>
  <si>
    <t>Are CNS symptoms present (seizures, encephalopathy, focal neurological deficits)? CNS involvement more common in aHUS than typical HUS — poor prognostic sign</t>
  </si>
  <si>
    <t>Yes — CNS involvement confirmed; indicates severe TMA with extrarenal spread</t>
  </si>
  <si>
    <t>CRITICAL EXCLUSION — ADAMTS13 — 12 pts</t>
  </si>
  <si>
    <t>Critical Exclusion</t>
  </si>
  <si>
    <t>Is ADAMTS13 activity &gt;10%? (ADAMTS13 &lt;10% = TTP — NOT aHUS; this finding negates the aHUS diagnosis)</t>
  </si>
  <si>
    <t>Yes — ADAMTS13 &gt;10% confirmed; TTP excluded; aHUS diagnosis supported</t>
  </si>
  <si>
    <t>COMPLEMENT STUDIES — 15 pts</t>
  </si>
  <si>
    <t>Complement Studies</t>
  </si>
  <si>
    <t>Is there evidence of complement dysregulation? (low C3 + low factor H + elevated sC5b-9 — the aHUS alternative pathway activation pattern; C4 typically normal)</t>
  </si>
  <si>
    <t>Yes — complement dysregulation pattern confirmed: low C3, low factor H, elevated sC5b-9</t>
  </si>
  <si>
    <t>GENETIC ANALYSIS — 20 pts</t>
  </si>
  <si>
    <t>Genetic Analysis</t>
  </si>
  <si>
    <t>Has genetic testing identified a pathogenic variant in a complement regulatory gene (CFH, CFI, MCP/CD46, CFB, C3, THBD, DGKE)?</t>
  </si>
  <si>
    <t>Yes — P/LP complement gene variant confirmed; or anti-factor H antibodies detected (acquired aHUS)</t>
  </si>
  <si>
    <t>EXCLUSION CRITERIA — 8 pts</t>
  </si>
  <si>
    <t>Exclusion Criteria</t>
  </si>
  <si>
    <t>Are Shiga toxin assay and STEC stool culture both negative? (excludes typical STEC-associated HUS)</t>
  </si>
  <si>
    <t>Yes — Shiga toxin and STEC culture negative; typical HUS excluded</t>
  </si>
  <si>
    <t>Is there no TMA-inducing medication in recent history? (quinine, calcineurin inhibitors, gemcitabine, bevacizumab)</t>
  </si>
  <si>
    <t>Yes — no TMA-inducing medications identified on medication reconciliation</t>
  </si>
  <si>
    <t>🔴  ≥80</t>
  </si>
  <si>
    <t>High confidence aHUS — initiate complement blockade with eculizumab (anti-C5) immediately; ensure meningococcal vaccination or prophylactic penicillin before first dose; nephrology and hematology co-management; genetic panel to guide long-term treatment duration</t>
  </si>
  <si>
    <t>🟡  60–79</t>
  </si>
  <si>
    <t>Moderate confidence — consider empirical eculizumab while awaiting complement genetics and STEC results; do not delay treatment in critically ill patients; complete ADAMTS13, complement studies, and exclusion workup</t>
  </si>
  <si>
    <t>🟢  &lt;60</t>
  </si>
  <si>
    <t>Low confidence — additional testing required before aHUS diagnosis; ensure ADAMTS13, complement studies, and STEC testing are completed; consider alternative TMA diagnoses (TTP, drug-induced TMA, DIC, HELLP)</t>
  </si>
  <si>
    <t>aHUS Progression Framework — Pediatric Moonshot</t>
  </si>
  <si>
    <t>Atypical Hemolytic Uremic Syndrome  |  100-Point Adverse Prognostic Score  |  KDIGO 2021 / International Consensus Guidelines on aHUS (Goodship et al.) / ERA-EDTA Working Group  |  Progression Trajectory: Fast / Moderate / Slow</t>
  </si>
  <si>
    <t>ACUTE DISEASE SEVERITY — INITIAL PRESENTATION — 30 pts</t>
  </si>
  <si>
    <t>Renal Severity</t>
  </si>
  <si>
    <t>Does the patient require renal replacement therapy (dialysis) at presentation, or has eGFR fallen below 15 mL/min/1.73m² (CKD Stage 5)?</t>
  </si>
  <si>
    <t>Yes — dialysis-requiring AKI or CKD Stage 5 at nadir; worst renal severity tier; ESRD risk &gt;60% without sustained eculizumab</t>
  </si>
  <si>
    <t>TMA Severity</t>
  </si>
  <si>
    <t>Is the platelet nadir &lt;50,000/μL or is there CNS involvement (seizures, stroke, encephalopathy) at presentation?</t>
  </si>
  <si>
    <t>Yes — severe TMA with thrombocytopenia &lt;50K or CNS injury confirmed; high morbidity and ESRD risk</t>
  </si>
  <si>
    <t>Delay to Eculizumab</t>
  </si>
  <si>
    <t>Was eculizumab initiated &gt;7 days after TMA onset, or was complement blockade not started due to delayed diagnosis?</t>
  </si>
  <si>
    <t>Yes — treatment delay confirmed; each additional day without eculizumab increases irreversible renal injury risk</t>
  </si>
  <si>
    <t>COMPLEMENT GENETIC RISK — GENOTYPE-SPECIFIC PROGNOSIS — 25 pts</t>
  </si>
  <si>
    <t>CFH Mutation</t>
  </si>
  <si>
    <t>Is there a pathogenic variant in complement factor H (CFH)?</t>
  </si>
  <si>
    <t>Yes — CFH mutation confirmed; highest ESRD risk among complement gene mutations (~70–80% ESRD without sustained treatment)</t>
  </si>
  <si>
    <t>C3 or CFB Mutation</t>
  </si>
  <si>
    <t>Is there a pathogenic variant in complement C3 or complement factor B (CFB)?</t>
  </si>
  <si>
    <t>Yes — C3 or CFB gain-of-function mutation confirmed; systemic complement activation; high relapse risk off eculizumab</t>
  </si>
  <si>
    <t>MCP/CD46 Mutation</t>
  </si>
  <si>
    <t>Is there a pathogenic variant in MCP/CD46 (membrane cofactor protein)?</t>
  </si>
  <si>
    <t>Yes — MCP mutation confirmed; lower ESRD risk than CFH (~20–30%) but relapse risk elevated with intercurrent illness</t>
  </si>
  <si>
    <t>TREATMENT RESPONSE AND RELAPSE — 20 pts</t>
  </si>
  <si>
    <t>Eculizumab Response</t>
  </si>
  <si>
    <t>Did platelet count and LDH normalize within 2 weeks of eculizumab initiation (complete TMA response)?</t>
  </si>
  <si>
    <t>Yes — complete TMA response confirmed; favorable short-term response but long-term renal recovery depends on chronicity</t>
  </si>
  <si>
    <t>Relapse on Eculizumab</t>
  </si>
  <si>
    <t>Has the patient had ≥1 TMA relapse (recurrent MAHA + thrombocytopenia + AKI) while on or after stopping eculizumab?</t>
  </si>
  <si>
    <t>Yes — TMA relapse confirmed; lifelong eculizumab required; consider switch to ravulizumab (longer dosing interval)</t>
  </si>
  <si>
    <t>Eculizumab Discontinuation</t>
  </si>
  <si>
    <t>Has eculizumab been discontinued with subsequent TMA relapse, or is discontinuation being considered in a high-risk genotype?</t>
  </si>
  <si>
    <t>Yes — high relapse risk with discontinuation confirmed; CFH mutations nearly universally relapse off treatment</t>
  </si>
  <si>
    <t>RENAL RECOVERY AND CHRONIC KIDNEY DISEASE — 15 pts</t>
  </si>
  <si>
    <t>Residual CKD</t>
  </si>
  <si>
    <t>Is eGFR &lt;45 mL/min/1.73m² (CKD Stage 3b or worse) after ≥3 months of sustained eculizumab therapy?</t>
  </si>
  <si>
    <t>Yes — incomplete renal recovery confirmed; significant irreversible nephron loss from acute TMA episodes</t>
  </si>
  <si>
    <t>Biopsy — Chronicity</t>
  </si>
  <si>
    <t>Is there significant thrombotic microangiopathy chronicity on renal biopsy (&gt;25% tubular atrophy/interstitial fibrosis or arterial sclerosis)?</t>
  </si>
  <si>
    <t>Yes — chronic TMA injury confirmed on histology; residual nephron loss limits long-term renal outcome</t>
  </si>
  <si>
    <t>EXTRA-RENAL INVOLVEMENT — 10 pts</t>
  </si>
  <si>
    <t>CNS TMA</t>
  </si>
  <si>
    <t>Is there documented neurological injury from CNS TMA (cognitive impairment, seizure disorder, stroke sequelae) persisting after acute episode?</t>
  </si>
  <si>
    <t>Yes — persistent CNS TMA injury confirmed; extrarenal complement-mediated injury; indicates systemic TMA burden</t>
  </si>
  <si>
    <t>Cardiac TMA</t>
  </si>
  <si>
    <t>Is there cardiomyopathy or cardiac TMA confirmed (troponin elevation + wall motion abnormality) during or after aHUS episode?</t>
  </si>
  <si>
    <t>Yes — cardiac TMA involvement confirmed; rare but high-mortality complication; systemic complement blockade essential</t>
  </si>
  <si>
    <t>🔴 Fast Progression — Dialysis-requiring AKI + high-risk genotype (CFH/C3/CFB) + TMA relapse + extra-renal involvement; maintain lifelong eculizumab or switch to ravulizumab; nephrology/transplant co-management; meningococcal prophylaxis; evaluate renal transplant with concurrent anti-C5 prophylaxis</t>
  </si>
  <si>
    <t>🟡 Moderate Progression — Partial renal recovery or moderate CKD with genotype-determined relapse risk; continue eculizumab with close monitoring; genotype-guided discussion of treatment duration; 3–6 month nephrology follow-up; vaccination and infection prevention</t>
  </si>
  <si>
    <t>🟢 Slow Progression — Complete TMA response with renal recovery; low-risk genotype (MCP/CD46) or no mutation identified; discuss cautious eculizumab discontinuation trial with close monitoring; annual complement studies and renal function; favorable prognosis with treatment</t>
  </si>
  <si>
    <t>Goodship et al. Kidney Int 2017 (International aHUS Consensus)  |  Legendre et al. NEJM 2013 (eculizumab in aHUS)  |  Fakhouri et al. Kidney Int 2017 (aHUS genotype and outcomes)  |  Loirat &amp; Frémeaux-Bacchi Orphanet 2011  |  KDIGO 2021 Glomerular Disease Guidelines  |  Walle et al. Pediatr Nephrol 2017 (pediatric aHUS outcomes)  |  Sheerin et al. Kidney Int 2023 (ravulizumab in aHUS)</t>
  </si>
  <si>
    <t>APOL1-Associated Kidney Disease  AI Agent</t>
  </si>
  <si>
    <t>GENETIC ANALYSIS — 35 pts</t>
  </si>
  <si>
    <t>Are two APOL1 high-risk alleles confirmed on genetic testing? (G1/G1, G1/G2, or G2/G2 genotype — requires African ancestry for meaningful interpretation)</t>
  </si>
  <si>
    <t>Yes — high-risk APOL1 genotype with two alleles confirmed; 10-fold increased CKD risk</t>
  </si>
  <si>
    <t>Is African ancestry (Sub-Saharan, African American, or Afro-Caribbean) documented in demographics or social history?</t>
  </si>
  <si>
    <t>Yes — African ancestry confirmed; APOL1 high-risk variants found almost exclusively in this population</t>
  </si>
  <si>
    <t>Is there a family history of CKD, ESRD, or early dialysis in first-degree relatives?</t>
  </si>
  <si>
    <t>Yes — strong familial clustering of CKD documented; suggests genetic etiology</t>
  </si>
  <si>
    <t>CLINICAL PRESENTATION — 30 pts</t>
  </si>
  <si>
    <t>Is there young adult onset of CKD (age 20–40 years) with rapid eGFR progression?</t>
  </si>
  <si>
    <t>Yes — early-onset CKD disproportionate to typical hypertensive nephrosclerosis</t>
  </si>
  <si>
    <t>Is there heavy proteinuria (&gt;1 g/day on 24-hr urine or PCR, often nephrotic range in APOL1 nephropathy)?</t>
  </si>
  <si>
    <t>Yes — significant proteinuria confirmed; reflects disease activity</t>
  </si>
  <si>
    <t>Is there severe, early-onset hypertension requiring ≥3 antihypertensive agents or documented as difficult-to-control?</t>
  </si>
  <si>
    <t>Yes — resistant or early-severe hypertension confirmed; disproportionate to age</t>
  </si>
  <si>
    <t>Is eGFR decline &gt;5 mL/min/1.73m²/year confirmed on ≥3 serial measurements?</t>
  </si>
  <si>
    <t>Yes — rapid CKD progression rate confirmed; hallmark of APOL1 nephropathy vs. typical CKD</t>
  </si>
  <si>
    <t>HISTOPATHOLOGY — 10 pts</t>
  </si>
  <si>
    <t>Histopathology</t>
  </si>
  <si>
    <t>Is focal segmental glomerulosclerosis — especially collapsing variant — confirmed on kidney biopsy? (collapsing FSGS has the strongest APOL1 association)</t>
  </si>
  <si>
    <t>Yes — FSGS or collapsing glomerulopathy confirmed on biopsy; APOL1 testing strongly indicated</t>
  </si>
  <si>
    <t>EXCLUSION CRITERIA — 4 pts</t>
  </si>
  <si>
    <t>Is diabetic nephropathy excluded? (no diabetes, HbA1c &lt;6.5%, no Kimmelstiel-Wilson changes on biopsy)</t>
  </si>
  <si>
    <t>Yes — diabetic nephropathy excluded</t>
  </si>
  <si>
    <t>Are ANA, ANCA, and anti-GBM negative, excluding autoimmune glomerulonephritis?</t>
  </si>
  <si>
    <t>Yes — autoimmune GN excluded; panel negative</t>
  </si>
  <si>
    <t>High confidence APOL1 nephropathy — optimize ACE inhibitor/ARB therapy targeting BP &lt;130/80 mmHg and proteinuria &lt;0.5 g/day; refer to APOL1-specific clinical trials (inaxaplin, APOL1 channel blocker, in Phase 3); genetic counseling for family members; SGLT-2 inhibitor for added renoprotection</t>
  </si>
  <si>
    <t>Moderate confidence — APOL1 genetic testing indicated if not yet done (requires African ancestry confirmation); kidney biopsy for histologic characterization; initiate RAS blockade and SGLT-2 inhibitor</t>
  </si>
  <si>
    <t>Low confidence — APOL1 nephropathy unlikely; evaluate alternative CKD etiologies (diabetic nephropathy, hypertensive nephrosclerosis, other GN); APOL1 testing low-yield without confirmed African ancestry</t>
  </si>
  <si>
    <t>APOL1 Nephropathy Progression Framework — Pediatric Moonshot</t>
  </si>
  <si>
    <t>APOL1-Associated Kidney Disease  |  100-Point Adverse Prognostic Score  |  KDIGO 2021 CKD Guidelines / AASK Trial / APOL1 Long-term Kidney Transplantation Outcomes (APOLLO) Study  |  Progression Trajectory: Fast / Moderate / Slow</t>
  </si>
  <si>
    <t>GENETIC RISK AND SECOND-HIT TRIGGERS — 25 pts</t>
  </si>
  <si>
    <t>APOL1 High-Risk Genotype</t>
  </si>
  <si>
    <t>Are two APOL1 high-risk alleles (G1/G1, G1/G2, or G2/G2) confirmed? (Prerequisite: required for all prognostic scoring in this agent)</t>
  </si>
  <si>
    <t>Yes — APOL1 high-risk genotype confirmed; foundational risk marker; penetrance ~20–30% lifetime</t>
  </si>
  <si>
    <t>Active Second-Hit Trigger</t>
  </si>
  <si>
    <t>Is there an active inflammatory or viral trigger known to amplify APOL1 nephrotoxicity? (HIV viremia, active SLE, interferon therapy, SARS-CoV-2 infection)</t>
  </si>
  <si>
    <t>Yes — second-hit trigger present and active; APOL1 channel opening accelerated; rapid CKD progression expected</t>
  </si>
  <si>
    <t>Cardiovascular Risk Burden</t>
  </si>
  <si>
    <t>Is there established atherosclerotic cardiovascular disease, diabetes, or metabolic syndrome coexisting with APOL1 nephropathy?</t>
  </si>
  <si>
    <t>Yes — high cardiovascular-renal risk burden confirmed; synergistic CKD accelerators beyond APOL1 alone</t>
  </si>
  <si>
    <t>PROTEINURIA AND DISEASE ACTIVITY — 25 pts</t>
  </si>
  <si>
    <t>Is proteinuria ≥1 g/day (urine PCR ≥1.0 mg/mg) at current assessment?</t>
  </si>
  <si>
    <t>Yes — significant proteinuria confirmed; reflects active podocyte injury; strongest modifiable progression driver</t>
  </si>
  <si>
    <t>Has proteinuria worsened ≥50% from baseline over ≥6 months despite RAS blockade?</t>
  </si>
  <si>
    <t>Yes — rising proteinuria on therapy; treatment-resistant disease activity; consider APOL1-specific trial enrollment</t>
  </si>
  <si>
    <t>eGFR TRAJECTORY — 25 pts</t>
  </si>
  <si>
    <t>Is eGFR &lt;30 mL/min/1.73m² (CKD Stage 4) at current assessment?</t>
  </si>
  <si>
    <t>Yes — severely reduced eGFR; ESRD within 3–5 years at median APOL1 progression rate; transplant planning indicated</t>
  </si>
  <si>
    <t>Is annualized eGFR decline &gt;5 mL/min/1.73m²/year confirmed on ≥3 serial measurements over ≥12 months?</t>
  </si>
  <si>
    <t>Yes — rapid progression confirmed; APOL1 nephropathy median decline 5–7 mL/min/year vs. 1–2 for typical CKD</t>
  </si>
  <si>
    <t>HISTOPATHOLOGY — 15 pts</t>
  </si>
  <si>
    <t>Collapsing FSGS</t>
  </si>
  <si>
    <t>Is collapsing focal segmental glomerulosclerosis confirmed on kidney biopsy? (strongest APOL1-associated histologic pattern)</t>
  </si>
  <si>
    <t>Yes — collapsing FSGS confirmed; 50–70% ESRD risk within 3 years; APOL1-mediated podocyte collapse</t>
  </si>
  <si>
    <t>Tubular Atrophy / Interstitial Fibrosis</t>
  </si>
  <si>
    <t>Is there moderate-to-severe tubular atrophy or interstitial fibrosis (&gt;25% of cortex) on biopsy?</t>
  </si>
  <si>
    <t>Yes — significant chronic injury confirmed; irreversible nephron loss; limits renoprotective treatment response</t>
  </si>
  <si>
    <t>HYPERTENSION SEVERITY — 10 pts</t>
  </si>
  <si>
    <t>Hypertension Control</t>
  </si>
  <si>
    <t>Is BP persistently ≥140/90 mmHg despite ≥3 antihypertensive agents including ACE inhibitor or ARB (uncontrolled hypertension)?</t>
  </si>
  <si>
    <t>Yes — refractory hypertension confirmed; APOL1 nephropathy has disproportionate hypertension burden and is ACE/ARB-resistant in severe cases</t>
  </si>
  <si>
    <t>🔴 Fast Progression — Active second-hit trigger + proteinuria ≥1 g/day + rapid eGFR decline + collapsing FSGS on biopsy; enroll in APOL1-specific clinical trial (inaxaplin Phase 3); eliminate second-hit triggers (HIV suppression, stop interferon); aggressive BP control &lt;120/80 mmHg; transplant evaluation; living donor APOL1 genotyping to avoid high-risk donors</t>
  </si>
  <si>
    <t>🟡 Moderate Progression — Moderate proteinuria or eGFR 30–45 without active trigger; optimize ACE/ARB to maximum tolerated dose; add SGLT-2 inhibitor; target BP &lt;130/80 mmHg; annual kidney biopsy reassessment if histology unknown; 3–6 month nephrology follow-up</t>
  </si>
  <si>
    <t>🟢 Slow Progression — Proteinuria &lt;0.5 g/day, preserved eGFR, no active trigger; APOL1 high-risk genotype is necessary but not sufficient for rapid progression; monitor annually; lifestyle modification (BP control, weight management); genetic counseling for family members</t>
  </si>
  <si>
    <t>Kopp et al. JASN 2011 (APOL1 and FSGS/CKD)  |  Parsa et al. NEJM 2013 (APOL1 and CKD in AASK/CRIC)  |  Dummer et al. JASN 2015 (APOL1 and CKD progression)  |  APOLLO Study: Freedman et al. JASN 2021  |  KDIGO 2021 CKD Guidelines  |  Beckerman et al. Nat Med 2017 (APOL1 channel mechanism)  |  inaxaplin Phase 2: Toto et al. NEJM 2023</t>
  </si>
  <si>
    <t>C3 Glomerulopathy (C3G)  AI Agent</t>
  </si>
  <si>
    <t>Each domain question draws from the complete medical record. Points reflect diagnostic weight. Cost reflects typical test burden: Small = existing record / standard labs  |  Medium = targeted test ($200–$1,500)  |  Large = biopsy or complement genetics ($1,500–$8,000+)  |  ⚠ Positive ANA/ANCA SUBTRACT points — recalculate if autoimmune markers are positive.</t>
  </si>
  <si>
    <t>CLINICAL PRESENTATION — 22 pts</t>
  </si>
  <si>
    <t>Is there a progressive CKD trajectory with declining eGFR over months to years (decline &gt;3 mL/min/1.73m²/year confirmed on serial values)?</t>
  </si>
  <si>
    <t>Yes — progressive CKD documented on serial eGFR measurements</t>
  </si>
  <si>
    <t>Is persistent microscopic or gross hematuria present on ≥2 separate urinalysis reports?</t>
  </si>
  <si>
    <t>Yes — persistent hematuria confirmed; nearly universal in C3G</t>
  </si>
  <si>
    <t>Is proteinuria &gt;0.5 g/day or ACR &gt;30 mg/g present on urine protein quantification?</t>
  </si>
  <si>
    <t>Yes — proteinuria confirmed; variable degree from mild to nephrotic</t>
  </si>
  <si>
    <t>COMPLEMENT STUDIES — HALLMARK FINDINGS — 22 pts</t>
  </si>
  <si>
    <t>Is serum C3 persistently low (below normal on ≥2 separate measurements)? — HALLMARK finding of C3G from alternative pathway activation</t>
  </si>
  <si>
    <t>Yes — persistently low C3 confirmed; primary laboratory hallmark of C3G</t>
  </si>
  <si>
    <t>Is serum C4 normal with C3 low? (Low C3 + normal C4 = alternative pathway activation; both low = classical pathway/SLE)</t>
  </si>
  <si>
    <t>Yes — C4 normal confirming alternative pathway pattern; distinguishes C3G from SLE</t>
  </si>
  <si>
    <t>Is C3 nephritic factor (C3NeF) positive on specialized complement testing?</t>
  </si>
  <si>
    <t>Yes — C3NeF positive; stabilizes C3 convertase, driving chronic C3 consumption</t>
  </si>
  <si>
    <t>Is soluble C5b-9 (sC5b-9/terminal complement complex) elevated above reference range?</t>
  </si>
  <si>
    <t>Yes — elevated sC5b-9 confirming ongoing terminal complement pathway activation</t>
  </si>
  <si>
    <t>AUTOIMMUNE EXCLUSIONS (negative findings ADD pts; positive findings SUBTRACT pts) — 7 pts</t>
  </si>
  <si>
    <t>Autoimmune Exclusion</t>
  </si>
  <si>
    <t>Are ANA and anti-dsDNA both negative? (Positive ANA ≥1:80 or anti-dsDNA = subtract 10 pts — redirects to SLE nephritis)</t>
  </si>
  <si>
    <t>Yes — lupus nephritis excluded; ANA and anti-dsDNA negative (+3 pts)</t>
  </si>
  <si>
    <t>Is ANCA (MPO/PR3) negative? (Positive ANCA = subtract 10 pts — redirects to ANCA-associated vasculitis)</t>
  </si>
  <si>
    <t>Yes — ANCA-associated vasculitis excluded (+2 pts)</t>
  </si>
  <si>
    <t>Are SPEP/UPEP and serum free light chains normal with no M-spike? (Abnormal paraprotein = subtract 5 pts — redirects to monoclonal GN)</t>
  </si>
  <si>
    <t>Yes — monoclonal gammopathy excluded; paraprotein screen negative (+2 pts)</t>
  </si>
  <si>
    <t>RENAL BIOPSY — DEFINITIVE DIAGNOSIS — 12 pts</t>
  </si>
  <si>
    <t>Is there C3-dominant staining (≥2+ brighter than IgG, IgA, IgM, C1q, and C4d) in an MPGN or mesangial pattern on immunofluorescence? — DEFINITIVE for C3G</t>
  </si>
  <si>
    <t>Yes — C3-dominant IF pattern confirmed; DEFINITIVE diagnosis of C3G</t>
  </si>
  <si>
    <t>Does electron microscopy confirm subtype: intramembranous GBM deposits (Dense Deposit Disease/DDD) vs. mesangial/subendothelial deposits (C3GN)?</t>
  </si>
  <si>
    <t>Yes — EM subtype confirmed; DDD = worse prognosis and higher transplant recurrence risk</t>
  </si>
  <si>
    <t>High confidence C3G (biopsy-proven + low C3 + clinical syndrome) — full complement workup (C3NeF, sC5b-9, factor H/I/B levels, AH50); complement genetics panel (CFH, CFI, CFB, C3); nephrology referral; consider eculizumab for severe or refractory disease; pre-transplant complement assessment mandatory (50% recurrence in transplant)</t>
  </si>
  <si>
    <t>Moderate confidence — probable C3G; urgent nephrology referral for kidney biopsy; complete complement studies and autoimmune exclusion panel; note: positive ANA/ANCA reduce score and redirect diagnosis</t>
  </si>
  <si>
    <t>Low confidence — C3G unlikely; investigate other GN causes; if autoimmune markers are positive, pursue SLE nephritis, ANCA vasculitis, or monoclonal GN workup; complete C3/C4 and exclusion panel before concluding</t>
  </si>
  <si>
    <t>C3G Progression Framework — Pediatric Moonshot</t>
  </si>
  <si>
    <t>C3 Glomerulopathy (C3GN and Dense Deposit Disease)  |  100-Point Adverse Prognostic Score  |  KDIGO 2021 Glomerular Disease Guidelines / C3G Consensus Report (Fakhouri et al.) / MPGN Classification 2012  |  Progression Trajectory: Fast / Moderate / Slow</t>
  </si>
  <si>
    <t>COMPLEMENT ACTIVITY — ONGOING PATHWAY ACTIVATION — 25 pts</t>
  </si>
  <si>
    <t>Persistently Low C3</t>
  </si>
  <si>
    <t>Is serum C3 persistently below the lower limit of normal on serial measurements ≥3 months apart?</t>
  </si>
  <si>
    <t>Yes — persistent C3 consumption confirmed; ongoing alternative pathway activation; disease remains active</t>
  </si>
  <si>
    <t>Elevated sC5b-9 on Therapy</t>
  </si>
  <si>
    <t>Is soluble C5b-9 (terminal complement complex) persistently elevated despite immunosuppressive or complement-directed therapy?</t>
  </si>
  <si>
    <t>Yes — ongoing terminal complement activation despite treatment; indicates inadequate complement control</t>
  </si>
  <si>
    <t>C3NeF Status</t>
  </si>
  <si>
    <t>Is C3 nephritic factor (C3NeF) persistently positive, driving chronic C3 convertase stabilization and complement dysregulation?</t>
  </si>
  <si>
    <t>Yes — C3NeF positive; auto-antibody-mediated complement activation ongoing; unpredictable flare pattern</t>
  </si>
  <si>
    <t>Is eGFR &lt;45 mL/min/1.73m² (CKD Stage 3b or worse) at current assessment?</t>
  </si>
  <si>
    <t>Yes — significantly reduced eGFR; 50% of C3G patients reach ESRD within 10 years; high-risk trajectory confirmed</t>
  </si>
  <si>
    <t>Is annualized eGFR decline &gt;3 mL/min/1.73m²/year confirmed on serial measurements over ≥12 months?</t>
  </si>
  <si>
    <t>Yes — progressive CKD trajectory above median C3G decline rate; ESRD risk elevated</t>
  </si>
  <si>
    <t>DDD Subtype</t>
  </si>
  <si>
    <t>Is the C3G subtype Dense Deposit Disease (DDD) confirmed on electron microscopy (intramembranous GBM deposits)?</t>
  </si>
  <si>
    <t>Yes — DDD confirmed; worse prognosis than C3GN; higher transplant recurrence (~80%); more aggressive treatment approach indicated</t>
  </si>
  <si>
    <t>Crescents on Biopsy</t>
  </si>
  <si>
    <t>Are crescents present in ≥25% of glomeruli on light microscopy (crescentic C3G)?</t>
  </si>
  <si>
    <t>Yes — crescentic C3G confirmed; rapid GFR decline expected; high-dose immunosuppression and complement blockade indicated</t>
  </si>
  <si>
    <t>Is there significant tubular atrophy or interstitial fibrosis (&gt;25% of cortex) on biopsy indicating irreversible chronic injury?</t>
  </si>
  <si>
    <t>Yes — chronic fibrotic injury confirmed; reflects irreversible nephron loss; limits expected treatment benefit</t>
  </si>
  <si>
    <t>PROTEINURIA — 15 pts</t>
  </si>
  <si>
    <t>Is proteinuria ≥1 g/day (urine PCR ≥1.0 mg/mg) at current assessment or is it worsening despite therapy?</t>
  </si>
  <si>
    <t>Yes — significant or worsening proteinuria confirmed; correlates with active glomerular injury and faster GFR decline</t>
  </si>
  <si>
    <t>Nephrotic Syndrome</t>
  </si>
  <si>
    <t>Is the patient in nephrotic syndrome (proteinuria &gt;3.5 g/day, hypoalbuminemia, edema)?</t>
  </si>
  <si>
    <t>Yes — nephrotic-range disease confirmed; highest proteinuria burden; poor prognosis in C3G; complement blockade urgently needed</t>
  </si>
  <si>
    <t>GENETIC AND ACQUIRED COMPLEMENT RISK — 10 pts</t>
  </si>
  <si>
    <t>Complement Gene Mutation</t>
  </si>
  <si>
    <t>Is there a pathogenic variant in CFH, CFI, CFB, C3, or THBD on complement genetics panel?</t>
  </si>
  <si>
    <t>Yes — genetic complement dysregulation confirmed; higher risk of transplant recurrence; guides eculizumab therapy duration</t>
  </si>
  <si>
    <t>Monoclonal Immunoglobulin</t>
  </si>
  <si>
    <t>Is there an underlying monoclonal gammopathy (MGUS or myeloma) driving acquired C3G?</t>
  </si>
  <si>
    <t>Yes — paraprotein-driven C3G confirmed; treat underlying plasma cell disorder; clone-directed therapy may resolve C3G</t>
  </si>
  <si>
    <t>TRANSPLANT RISK — 10 pts</t>
  </si>
  <si>
    <t>Prior Transplant Recurrence</t>
  </si>
  <si>
    <t>Has C3G recurred in a prior renal transplant graft?</t>
  </si>
  <si>
    <t>Yes — documented transplant recurrence confirmed; C3G recurs in ~50% of transplants (DDD ~80%); pre-transplant complement workup and eculizumab prophylaxis required</t>
  </si>
  <si>
    <t>Transplant Candidacy</t>
  </si>
  <si>
    <t>Is the patient being evaluated for kidney transplantation with inadequate pre-transplant complement control (active C3 consumption or high sC5b-9)?</t>
  </si>
  <si>
    <t>Yes — high recurrence risk in transplant; complement normalization required before transplant listing; consider eculizumab bridge therapy</t>
  </si>
  <si>
    <t>🔴 Fast Progression — Rapidly declining eGFR + DDD or crescentic histology + persistent complement activation + high transplant recurrence risk; eculizumab (anti-C5) for severe/refractory disease; avacopan or iptacopan (complement factor D inhibitor) in clinical trials; transplant planning with complement monitoring and prophylaxis protocol</t>
  </si>
  <si>
    <t>🟡 Moderate Progression — Moderate CKD or complement activity with partial treatment response; mycophenolate mofetil ± low-dose steroids per KDIGO; SGLT-2 inhibitor for renoprotection; RAS blockade for proteinuria; repeat complement studies every 6 months; nephrology follow-up every 3–6 months</t>
  </si>
  <si>
    <t>🟢 Slow Progression — Stable eGFR, controlled proteinuria, low complement activity; maintenance immunosuppression if indicated; annual urine PCR, eGFR, and C3/C4/sC5b-9 monitoring; 20–30% of C3GN patients have stable disease; favorable trajectory with close surveillance</t>
  </si>
  <si>
    <t>KDIGO 2021 Glomerular Disease Guidelines  |  Fakhouri et al. Kidney Int 2010 (C3G consensus)  |  Pickering et al. Kidney Int 2013 (DDD and transplant recurrence)  |  Bomback et al. CJASN 2012 (eculizumab in C3G)  |  Servais et al. JASN 2012 (C3G outcomes)  |  Iatropoulos et al. Kidney Int 2018 (C3G risk score)  |  KDIGO C3G Controversies Conference 2017 (Appel et al.)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</si>
</sst>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color rgb="FF444444"/>
      <name val="Arial"/>
      <family val="2"/>
    </font>
    <font>
      <b/>
      <sz val="14"/>
      <color rgb="FF1F3864"/>
      <name val="Arial"/>
      <family val="2"/>
    </font>
    <font>
      <sz val="14"/>
      <color rgb="FF000000"/>
      <name val="Arial"/>
      <family val="2"/>
    </font>
    <font>
      <sz val="14"/>
      <color rgb="FF1F3864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0F4FA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C6ECC6"/>
      </patternFill>
    </fill>
    <fill>
      <patternFill patternType="solid">
        <fgColor rgb="FFEEF4FB"/>
      </patternFill>
    </fill>
    <fill>
      <patternFill patternType="solid">
        <fgColor rgb="FFFDDCDC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2" fillId="0" borderId="0" xfId="0" applyFont="1"/>
    <xf numFmtId="0" fontId="3" fillId="3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left" vertical="top" wrapText="1"/>
    </xf>
    <xf numFmtId="0" fontId="5" fillId="7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top" wrapText="1"/>
    </xf>
    <xf numFmtId="0" fontId="6" fillId="9" borderId="0" xfId="0" applyFont="1" applyFill="1" applyAlignment="1">
      <alignment horizontal="left" vertical="top" wrapText="1"/>
    </xf>
    <xf numFmtId="0" fontId="6" fillId="6" borderId="0" xfId="0" applyFont="1" applyFill="1" applyAlignment="1">
      <alignment horizontal="left" vertical="top" wrapText="1"/>
    </xf>
    <xf numFmtId="0" fontId="4" fillId="10" borderId="0" xfId="0" applyFont="1" applyFill="1" applyAlignment="1">
      <alignment horizontal="left" vertical="top" wrapText="1"/>
    </xf>
    <xf numFmtId="0" fontId="5" fillId="10" borderId="0" xfId="0" applyFont="1" applyFill="1" applyAlignment="1">
      <alignment horizontal="left" vertical="top" wrapText="1"/>
    </xf>
    <xf numFmtId="0" fontId="4" fillId="10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31"/>
  <sheetViews>
    <sheetView workbookViewId="0">
      <pane ySplit="3" topLeftCell="A23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0</v>
      </c>
      <c r="B1" s="2"/>
      <c r="C1" s="2"/>
      <c r="D1" s="2"/>
      <c r="E1" s="2"/>
    </row>
    <row r="2" spans="1:5" x14ac:dyDescent="0.25">
      <c r="A2" s="4" t="s">
        <v>1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7</v>
      </c>
      <c r="B4" s="2"/>
      <c r="C4" s="2"/>
      <c r="D4" s="2"/>
      <c r="E4" s="2"/>
    </row>
    <row r="5" spans="1:5" ht="76" x14ac:dyDescent="0.25">
      <c r="A5" s="7" t="s">
        <v>8</v>
      </c>
      <c r="B5" s="8" t="s">
        <v>9</v>
      </c>
      <c r="C5" s="8" t="s">
        <v>10</v>
      </c>
      <c r="D5" s="9">
        <v>14</v>
      </c>
      <c r="E5" s="10" t="s">
        <v>11</v>
      </c>
    </row>
    <row r="6" spans="1:5" ht="57" x14ac:dyDescent="0.25">
      <c r="A6" s="11" t="s">
        <v>8</v>
      </c>
      <c r="B6" s="12" t="s">
        <v>12</v>
      </c>
      <c r="C6" s="12" t="s">
        <v>13</v>
      </c>
      <c r="D6" s="13">
        <v>8</v>
      </c>
      <c r="E6" s="10" t="s">
        <v>11</v>
      </c>
    </row>
    <row r="7" spans="1:5" ht="76" x14ac:dyDescent="0.25">
      <c r="A7" s="7" t="s">
        <v>8</v>
      </c>
      <c r="B7" s="8" t="s">
        <v>14</v>
      </c>
      <c r="C7" s="8" t="s">
        <v>15</v>
      </c>
      <c r="D7" s="9">
        <v>4</v>
      </c>
      <c r="E7" s="10" t="s">
        <v>11</v>
      </c>
    </row>
    <row r="8" spans="1:5" ht="57" x14ac:dyDescent="0.25">
      <c r="A8" s="11" t="s">
        <v>8</v>
      </c>
      <c r="B8" s="12" t="s">
        <v>16</v>
      </c>
      <c r="C8" s="12" t="s">
        <v>17</v>
      </c>
      <c r="D8" s="13">
        <v>2</v>
      </c>
      <c r="E8" s="10" t="s">
        <v>11</v>
      </c>
    </row>
    <row r="9" spans="1:5" x14ac:dyDescent="0.25">
      <c r="A9" s="6" t="s">
        <v>18</v>
      </c>
      <c r="B9" s="2"/>
      <c r="C9" s="2"/>
      <c r="D9" s="2"/>
      <c r="E9" s="2"/>
    </row>
    <row r="10" spans="1:5" ht="57" x14ac:dyDescent="0.25">
      <c r="A10" s="7" t="s">
        <v>19</v>
      </c>
      <c r="B10" s="8" t="s">
        <v>20</v>
      </c>
      <c r="C10" s="8" t="s">
        <v>21</v>
      </c>
      <c r="D10" s="9">
        <v>12</v>
      </c>
      <c r="E10" s="14" t="s">
        <v>22</v>
      </c>
    </row>
    <row r="11" spans="1:5" ht="114" x14ac:dyDescent="0.25">
      <c r="A11" s="11" t="s">
        <v>23</v>
      </c>
      <c r="B11" s="12" t="s">
        <v>24</v>
      </c>
      <c r="C11" s="12" t="s">
        <v>25</v>
      </c>
      <c r="D11" s="13">
        <v>8</v>
      </c>
      <c r="E11" s="14" t="s">
        <v>22</v>
      </c>
    </row>
    <row r="12" spans="1:5" x14ac:dyDescent="0.25">
      <c r="A12" s="6" t="s">
        <v>26</v>
      </c>
      <c r="B12" s="2"/>
      <c r="C12" s="2"/>
      <c r="D12" s="2"/>
      <c r="E12" s="2"/>
    </row>
    <row r="13" spans="1:5" ht="95" x14ac:dyDescent="0.25">
      <c r="A13" s="7" t="s">
        <v>27</v>
      </c>
      <c r="B13" s="8" t="s">
        <v>28</v>
      </c>
      <c r="C13" s="8" t="s">
        <v>29</v>
      </c>
      <c r="D13" s="9">
        <v>18</v>
      </c>
      <c r="E13" s="14" t="s">
        <v>22</v>
      </c>
    </row>
    <row r="14" spans="1:5" x14ac:dyDescent="0.25">
      <c r="A14" s="6" t="s">
        <v>30</v>
      </c>
      <c r="B14" s="2"/>
      <c r="C14" s="2"/>
      <c r="D14" s="2"/>
      <c r="E14" s="2"/>
    </row>
    <row r="15" spans="1:5" ht="95" x14ac:dyDescent="0.25">
      <c r="A15" s="11" t="s">
        <v>31</v>
      </c>
      <c r="B15" s="12" t="s">
        <v>32</v>
      </c>
      <c r="C15" s="12" t="s">
        <v>33</v>
      </c>
      <c r="D15" s="13">
        <v>6</v>
      </c>
      <c r="E15" s="14" t="s">
        <v>22</v>
      </c>
    </row>
    <row r="16" spans="1:5" x14ac:dyDescent="0.25">
      <c r="A16" s="6" t="s">
        <v>34</v>
      </c>
      <c r="B16" s="2"/>
      <c r="C16" s="2"/>
      <c r="D16" s="2"/>
      <c r="E16" s="2"/>
    </row>
    <row r="17" spans="1:5" ht="95" x14ac:dyDescent="0.25">
      <c r="A17" s="7" t="s">
        <v>35</v>
      </c>
      <c r="B17" s="8" t="s">
        <v>36</v>
      </c>
      <c r="C17" s="8" t="s">
        <v>37</v>
      </c>
      <c r="D17" s="9">
        <v>10</v>
      </c>
      <c r="E17" s="15" t="s">
        <v>38</v>
      </c>
    </row>
    <row r="18" spans="1:5" ht="76" x14ac:dyDescent="0.25">
      <c r="A18" s="11" t="s">
        <v>35</v>
      </c>
      <c r="B18" s="12" t="s">
        <v>39</v>
      </c>
      <c r="C18" s="12" t="s">
        <v>40</v>
      </c>
      <c r="D18" s="13">
        <v>4</v>
      </c>
      <c r="E18" s="15" t="s">
        <v>38</v>
      </c>
    </row>
    <row r="19" spans="1:5" x14ac:dyDescent="0.25">
      <c r="A19" s="6" t="s">
        <v>41</v>
      </c>
      <c r="B19" s="2"/>
      <c r="C19" s="2"/>
      <c r="D19" s="2"/>
      <c r="E19" s="2"/>
    </row>
    <row r="20" spans="1:5" ht="57" x14ac:dyDescent="0.25">
      <c r="A20" s="7" t="s">
        <v>42</v>
      </c>
      <c r="B20" s="8" t="s">
        <v>43</v>
      </c>
      <c r="C20" s="8" t="s">
        <v>44</v>
      </c>
      <c r="D20" s="9">
        <v>3</v>
      </c>
      <c r="E20" s="10" t="s">
        <v>11</v>
      </c>
    </row>
    <row r="21" spans="1:5" ht="76" x14ac:dyDescent="0.25">
      <c r="A21" s="11" t="s">
        <v>42</v>
      </c>
      <c r="B21" s="12" t="s">
        <v>45</v>
      </c>
      <c r="C21" s="12" t="s">
        <v>46</v>
      </c>
      <c r="D21" s="13">
        <v>3</v>
      </c>
      <c r="E21" s="10" t="s">
        <v>11</v>
      </c>
    </row>
    <row r="22" spans="1:5" ht="95" x14ac:dyDescent="0.25">
      <c r="A22" s="7" t="s">
        <v>42</v>
      </c>
      <c r="B22" s="8" t="s">
        <v>47</v>
      </c>
      <c r="C22" s="8" t="s">
        <v>48</v>
      </c>
      <c r="D22" s="9">
        <v>2</v>
      </c>
      <c r="E22" s="10" t="s">
        <v>11</v>
      </c>
    </row>
    <row r="23" spans="1:5" x14ac:dyDescent="0.25">
      <c r="A23" s="6" t="s">
        <v>49</v>
      </c>
      <c r="B23" s="2"/>
      <c r="C23" s="2"/>
      <c r="D23" s="2"/>
      <c r="E23" s="2"/>
    </row>
    <row r="24" spans="1:5" ht="133" x14ac:dyDescent="0.25">
      <c r="A24" s="11" t="s">
        <v>50</v>
      </c>
      <c r="B24" s="12" t="s">
        <v>51</v>
      </c>
      <c r="C24" s="12" t="s">
        <v>52</v>
      </c>
      <c r="D24" s="13">
        <v>6</v>
      </c>
      <c r="E24" s="10" t="s">
        <v>11</v>
      </c>
    </row>
    <row r="26" spans="1:5" x14ac:dyDescent="0.25">
      <c r="A26" s="16" t="s">
        <v>53</v>
      </c>
      <c r="B26" s="2"/>
      <c r="C26" s="2"/>
      <c r="D26" s="5">
        <f>D5+D6+D7+D8+D10+D11+D13+D15+D17+D18+D20+D21+D22+D24</f>
        <v>100</v>
      </c>
      <c r="E26" s="5"/>
    </row>
    <row r="28" spans="1:5" x14ac:dyDescent="0.25">
      <c r="A28" s="16" t="s">
        <v>54</v>
      </c>
      <c r="B28" s="2"/>
      <c r="C28" s="2"/>
      <c r="D28" s="2"/>
      <c r="E28" s="2"/>
    </row>
    <row r="29" spans="1:5" x14ac:dyDescent="0.25">
      <c r="A29" s="14" t="s">
        <v>55</v>
      </c>
      <c r="B29" s="17" t="s">
        <v>56</v>
      </c>
      <c r="C29" s="2"/>
      <c r="D29" s="2"/>
      <c r="E29" s="2"/>
    </row>
    <row r="30" spans="1:5" x14ac:dyDescent="0.25">
      <c r="A30" s="15" t="s">
        <v>57</v>
      </c>
      <c r="B30" s="18" t="s">
        <v>58</v>
      </c>
      <c r="C30" s="2"/>
      <c r="D30" s="2"/>
      <c r="E30" s="2"/>
    </row>
    <row r="31" spans="1:5" x14ac:dyDescent="0.25">
      <c r="A31" s="10" t="s">
        <v>59</v>
      </c>
      <c r="B31" s="19" t="s">
        <v>60</v>
      </c>
      <c r="C31" s="2"/>
      <c r="D31" s="2"/>
      <c r="E31" s="2"/>
    </row>
  </sheetData>
  <mergeCells count="14">
    <mergeCell ref="A1:E1"/>
    <mergeCell ref="A23:E23"/>
    <mergeCell ref="A14:E14"/>
    <mergeCell ref="A26:C26"/>
    <mergeCell ref="A9:E9"/>
    <mergeCell ref="B31:E31"/>
    <mergeCell ref="A12:E12"/>
    <mergeCell ref="A4:E4"/>
    <mergeCell ref="A2:E2"/>
    <mergeCell ref="A16:E16"/>
    <mergeCell ref="A28:E28"/>
    <mergeCell ref="B30:E30"/>
    <mergeCell ref="A19:E19"/>
    <mergeCell ref="B29:E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0"/>
  <sheetViews>
    <sheetView workbookViewId="0">
      <pane ySplit="3" topLeftCell="A20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61</v>
      </c>
      <c r="B1" s="2"/>
      <c r="C1" s="2"/>
      <c r="D1" s="2"/>
      <c r="E1" s="2"/>
    </row>
    <row r="2" spans="1:5" x14ac:dyDescent="0.25">
      <c r="A2" s="4" t="s">
        <v>62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63</v>
      </c>
      <c r="B4" s="2"/>
      <c r="C4" s="2"/>
      <c r="D4" s="2"/>
      <c r="E4" s="2"/>
    </row>
    <row r="5" spans="1:5" ht="95" x14ac:dyDescent="0.25">
      <c r="A5" s="7" t="s">
        <v>50</v>
      </c>
      <c r="B5" s="8" t="s">
        <v>64</v>
      </c>
      <c r="C5" s="8" t="s">
        <v>65</v>
      </c>
      <c r="D5" s="9">
        <v>15</v>
      </c>
      <c r="E5" s="10" t="s">
        <v>11</v>
      </c>
    </row>
    <row r="6" spans="1:5" ht="76" x14ac:dyDescent="0.25">
      <c r="A6" s="20" t="s">
        <v>66</v>
      </c>
      <c r="B6" s="21" t="s">
        <v>67</v>
      </c>
      <c r="C6" s="21" t="s">
        <v>68</v>
      </c>
      <c r="D6" s="22">
        <v>12</v>
      </c>
      <c r="E6" s="10" t="s">
        <v>11</v>
      </c>
    </row>
    <row r="7" spans="1:5" ht="76" x14ac:dyDescent="0.25">
      <c r="A7" s="7" t="s">
        <v>69</v>
      </c>
      <c r="B7" s="8" t="s">
        <v>70</v>
      </c>
      <c r="C7" s="8" t="s">
        <v>71</v>
      </c>
      <c r="D7" s="9">
        <v>8</v>
      </c>
      <c r="E7" s="10" t="s">
        <v>11</v>
      </c>
    </row>
    <row r="8" spans="1:5" x14ac:dyDescent="0.25">
      <c r="A8" s="6" t="s">
        <v>72</v>
      </c>
      <c r="B8" s="2"/>
      <c r="C8" s="2"/>
      <c r="D8" s="2"/>
      <c r="E8" s="2"/>
    </row>
    <row r="9" spans="1:5" ht="76" x14ac:dyDescent="0.25">
      <c r="A9" s="20" t="s">
        <v>73</v>
      </c>
      <c r="B9" s="21" t="s">
        <v>74</v>
      </c>
      <c r="C9" s="21" t="s">
        <v>75</v>
      </c>
      <c r="D9" s="22">
        <v>12</v>
      </c>
      <c r="E9" s="10" t="s">
        <v>11</v>
      </c>
    </row>
    <row r="10" spans="1:5" ht="57" x14ac:dyDescent="0.25">
      <c r="A10" s="7" t="s">
        <v>76</v>
      </c>
      <c r="B10" s="8" t="s">
        <v>77</v>
      </c>
      <c r="C10" s="8" t="s">
        <v>78</v>
      </c>
      <c r="D10" s="9">
        <v>8</v>
      </c>
      <c r="E10" s="10" t="s">
        <v>11</v>
      </c>
    </row>
    <row r="11" spans="1:5" x14ac:dyDescent="0.25">
      <c r="A11" s="6" t="s">
        <v>79</v>
      </c>
      <c r="B11" s="2"/>
      <c r="C11" s="2"/>
      <c r="D11" s="2"/>
      <c r="E11" s="2"/>
    </row>
    <row r="12" spans="1:5" ht="95" x14ac:dyDescent="0.25">
      <c r="A12" s="20" t="s">
        <v>80</v>
      </c>
      <c r="B12" s="21" t="s">
        <v>81</v>
      </c>
      <c r="C12" s="21" t="s">
        <v>82</v>
      </c>
      <c r="D12" s="22">
        <v>12</v>
      </c>
      <c r="E12" s="14" t="s">
        <v>22</v>
      </c>
    </row>
    <row r="13" spans="1:5" ht="57" x14ac:dyDescent="0.25">
      <c r="A13" s="7" t="s">
        <v>83</v>
      </c>
      <c r="B13" s="8" t="s">
        <v>84</v>
      </c>
      <c r="C13" s="8" t="s">
        <v>85</v>
      </c>
      <c r="D13" s="9">
        <v>5</v>
      </c>
      <c r="E13" s="14" t="s">
        <v>22</v>
      </c>
    </row>
    <row r="14" spans="1:5" ht="57" x14ac:dyDescent="0.25">
      <c r="A14" s="20" t="s">
        <v>86</v>
      </c>
      <c r="B14" s="21" t="s">
        <v>87</v>
      </c>
      <c r="C14" s="21" t="s">
        <v>88</v>
      </c>
      <c r="D14" s="22">
        <v>3</v>
      </c>
      <c r="E14" s="14" t="s">
        <v>22</v>
      </c>
    </row>
    <row r="15" spans="1:5" x14ac:dyDescent="0.25">
      <c r="A15" s="6" t="s">
        <v>89</v>
      </c>
      <c r="B15" s="2"/>
      <c r="C15" s="2"/>
      <c r="D15" s="2"/>
      <c r="E15" s="2"/>
    </row>
    <row r="16" spans="1:5" ht="76" x14ac:dyDescent="0.25">
      <c r="A16" s="7" t="s">
        <v>90</v>
      </c>
      <c r="B16" s="8" t="s">
        <v>91</v>
      </c>
      <c r="C16" s="8" t="s">
        <v>92</v>
      </c>
      <c r="D16" s="9">
        <v>6</v>
      </c>
      <c r="E16" s="15" t="s">
        <v>38</v>
      </c>
    </row>
    <row r="17" spans="1:5" ht="95" x14ac:dyDescent="0.25">
      <c r="A17" s="20" t="s">
        <v>93</v>
      </c>
      <c r="B17" s="21" t="s">
        <v>94</v>
      </c>
      <c r="C17" s="21" t="s">
        <v>95</v>
      </c>
      <c r="D17" s="22">
        <v>4</v>
      </c>
      <c r="E17" s="15" t="s">
        <v>38</v>
      </c>
    </row>
    <row r="18" spans="1:5" x14ac:dyDescent="0.25">
      <c r="A18" s="6" t="s">
        <v>96</v>
      </c>
      <c r="B18" s="2"/>
      <c r="C18" s="2"/>
      <c r="D18" s="2"/>
      <c r="E18" s="2"/>
    </row>
    <row r="19" spans="1:5" ht="76" x14ac:dyDescent="0.25">
      <c r="A19" s="7" t="s">
        <v>97</v>
      </c>
      <c r="B19" s="8" t="s">
        <v>98</v>
      </c>
      <c r="C19" s="8" t="s">
        <v>99</v>
      </c>
      <c r="D19" s="9">
        <v>6</v>
      </c>
      <c r="E19" s="10" t="s">
        <v>11</v>
      </c>
    </row>
    <row r="20" spans="1:5" ht="95" x14ac:dyDescent="0.25">
      <c r="A20" s="20" t="s">
        <v>100</v>
      </c>
      <c r="B20" s="21" t="s">
        <v>101</v>
      </c>
      <c r="C20" s="21" t="s">
        <v>102</v>
      </c>
      <c r="D20" s="22">
        <v>5</v>
      </c>
      <c r="E20" s="10" t="s">
        <v>11</v>
      </c>
    </row>
    <row r="21" spans="1:5" ht="114" x14ac:dyDescent="0.25">
      <c r="A21" s="7" t="s">
        <v>103</v>
      </c>
      <c r="B21" s="8" t="s">
        <v>104</v>
      </c>
      <c r="C21" s="8" t="s">
        <v>105</v>
      </c>
      <c r="D21" s="9">
        <v>4</v>
      </c>
      <c r="E21" s="10" t="s">
        <v>11</v>
      </c>
    </row>
    <row r="23" spans="1:5" x14ac:dyDescent="0.25">
      <c r="A23" s="16" t="s">
        <v>53</v>
      </c>
      <c r="B23" s="2"/>
      <c r="C23" s="2"/>
      <c r="D23" s="5">
        <f>D5+D6+D7+D9+D10+D12+D13+D14+D16+D17+D19+D20+D21</f>
        <v>100</v>
      </c>
      <c r="E23" s="5"/>
    </row>
    <row r="25" spans="1:5" x14ac:dyDescent="0.25">
      <c r="A25" s="16" t="s">
        <v>106</v>
      </c>
      <c r="B25" s="2"/>
      <c r="C25" s="2"/>
      <c r="D25" s="2"/>
      <c r="E25" s="2"/>
    </row>
    <row r="26" spans="1:5" x14ac:dyDescent="0.25">
      <c r="A26" s="9" t="s">
        <v>107</v>
      </c>
      <c r="B26" s="23" t="s">
        <v>108</v>
      </c>
      <c r="C26" s="2"/>
      <c r="D26" s="2"/>
      <c r="E26" s="2"/>
    </row>
    <row r="27" spans="1:5" x14ac:dyDescent="0.25">
      <c r="A27" s="9" t="s">
        <v>109</v>
      </c>
      <c r="B27" s="23" t="s">
        <v>110</v>
      </c>
      <c r="C27" s="2"/>
      <c r="D27" s="2"/>
      <c r="E27" s="2"/>
    </row>
    <row r="28" spans="1:5" x14ac:dyDescent="0.25">
      <c r="A28" s="9" t="s">
        <v>111</v>
      </c>
      <c r="B28" s="23" t="s">
        <v>112</v>
      </c>
      <c r="C28" s="2"/>
      <c r="D28" s="2"/>
      <c r="E28" s="2"/>
    </row>
    <row r="30" spans="1:5" x14ac:dyDescent="0.25">
      <c r="A30" s="4" t="s">
        <v>113</v>
      </c>
      <c r="B30" s="2"/>
      <c r="C30" s="2"/>
      <c r="D30" s="2"/>
      <c r="E30" s="2"/>
    </row>
  </sheetData>
  <mergeCells count="13">
    <mergeCell ref="A1:E1"/>
    <mergeCell ref="A8:E8"/>
    <mergeCell ref="B28:E28"/>
    <mergeCell ref="A18:E18"/>
    <mergeCell ref="A30:E30"/>
    <mergeCell ref="B26:E26"/>
    <mergeCell ref="B27:E27"/>
    <mergeCell ref="A4:E4"/>
    <mergeCell ref="A2:E2"/>
    <mergeCell ref="A23:C23"/>
    <mergeCell ref="A15:E15"/>
    <mergeCell ref="A25:E25"/>
    <mergeCell ref="A11:E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E31"/>
  <sheetViews>
    <sheetView workbookViewId="0">
      <pane ySplit="3" topLeftCell="A8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114</v>
      </c>
      <c r="B1" s="2"/>
      <c r="C1" s="2"/>
      <c r="D1" s="2"/>
      <c r="E1" s="2"/>
    </row>
    <row r="2" spans="1:5" x14ac:dyDescent="0.25">
      <c r="A2" s="4" t="s">
        <v>115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116</v>
      </c>
      <c r="B4" s="2"/>
      <c r="C4" s="2"/>
      <c r="D4" s="2"/>
      <c r="E4" s="2"/>
    </row>
    <row r="5" spans="1:5" ht="95" x14ac:dyDescent="0.25">
      <c r="A5" s="7" t="s">
        <v>8</v>
      </c>
      <c r="B5" s="8" t="s">
        <v>117</v>
      </c>
      <c r="C5" s="8" t="s">
        <v>118</v>
      </c>
      <c r="D5" s="9">
        <v>12</v>
      </c>
      <c r="E5" s="10" t="s">
        <v>11</v>
      </c>
    </row>
    <row r="6" spans="1:5" ht="95" x14ac:dyDescent="0.25">
      <c r="A6" s="11" t="s">
        <v>8</v>
      </c>
      <c r="B6" s="12" t="s">
        <v>119</v>
      </c>
      <c r="C6" s="12" t="s">
        <v>120</v>
      </c>
      <c r="D6" s="13">
        <v>7</v>
      </c>
      <c r="E6" s="10" t="s">
        <v>11</v>
      </c>
    </row>
    <row r="7" spans="1:5" ht="76" x14ac:dyDescent="0.25">
      <c r="A7" s="7" t="s">
        <v>8</v>
      </c>
      <c r="B7" s="8" t="s">
        <v>121</v>
      </c>
      <c r="C7" s="8" t="s">
        <v>122</v>
      </c>
      <c r="D7" s="9">
        <v>5</v>
      </c>
      <c r="E7" s="10" t="s">
        <v>11</v>
      </c>
    </row>
    <row r="8" spans="1:5" x14ac:dyDescent="0.25">
      <c r="A8" s="6" t="s">
        <v>123</v>
      </c>
      <c r="B8" s="2"/>
      <c r="C8" s="2"/>
      <c r="D8" s="2"/>
      <c r="E8" s="2"/>
    </row>
    <row r="9" spans="1:5" ht="76" x14ac:dyDescent="0.25">
      <c r="A9" s="11" t="s">
        <v>124</v>
      </c>
      <c r="B9" s="12" t="s">
        <v>125</v>
      </c>
      <c r="C9" s="12" t="s">
        <v>126</v>
      </c>
      <c r="D9" s="13">
        <v>10</v>
      </c>
      <c r="E9" s="10" t="s">
        <v>11</v>
      </c>
    </row>
    <row r="10" spans="1:5" ht="76" x14ac:dyDescent="0.25">
      <c r="A10" s="7" t="s">
        <v>127</v>
      </c>
      <c r="B10" s="8" t="s">
        <v>128</v>
      </c>
      <c r="C10" s="8" t="s">
        <v>129</v>
      </c>
      <c r="D10" s="9">
        <v>8</v>
      </c>
      <c r="E10" s="10" t="s">
        <v>11</v>
      </c>
    </row>
    <row r="11" spans="1:5" ht="76" x14ac:dyDescent="0.25">
      <c r="A11" s="11" t="s">
        <v>130</v>
      </c>
      <c r="B11" s="12" t="s">
        <v>131</v>
      </c>
      <c r="C11" s="12" t="s">
        <v>132</v>
      </c>
      <c r="D11" s="13">
        <v>6</v>
      </c>
      <c r="E11" s="10" t="s">
        <v>11</v>
      </c>
    </row>
    <row r="12" spans="1:5" ht="95" x14ac:dyDescent="0.25">
      <c r="A12" s="7" t="s">
        <v>133</v>
      </c>
      <c r="B12" s="8" t="s">
        <v>134</v>
      </c>
      <c r="C12" s="8" t="s">
        <v>135</v>
      </c>
      <c r="D12" s="9">
        <v>6</v>
      </c>
      <c r="E12" s="10" t="s">
        <v>11</v>
      </c>
    </row>
    <row r="13" spans="1:5" x14ac:dyDescent="0.25">
      <c r="A13" s="6" t="s">
        <v>136</v>
      </c>
      <c r="B13" s="2"/>
      <c r="C13" s="2"/>
      <c r="D13" s="2"/>
      <c r="E13" s="2"/>
    </row>
    <row r="14" spans="1:5" ht="57" x14ac:dyDescent="0.25">
      <c r="A14" s="11" t="s">
        <v>19</v>
      </c>
      <c r="B14" s="12" t="s">
        <v>137</v>
      </c>
      <c r="C14" s="12" t="s">
        <v>138</v>
      </c>
      <c r="D14" s="13">
        <v>10</v>
      </c>
      <c r="E14" s="14" t="s">
        <v>22</v>
      </c>
    </row>
    <row r="15" spans="1:5" ht="95" x14ac:dyDescent="0.25">
      <c r="A15" s="7" t="s">
        <v>139</v>
      </c>
      <c r="B15" s="8" t="s">
        <v>140</v>
      </c>
      <c r="C15" s="8" t="s">
        <v>141</v>
      </c>
      <c r="D15" s="9">
        <v>8</v>
      </c>
      <c r="E15" s="14" t="s">
        <v>22</v>
      </c>
    </row>
    <row r="16" spans="1:5" x14ac:dyDescent="0.25">
      <c r="A16" s="6" t="s">
        <v>142</v>
      </c>
      <c r="B16" s="2"/>
      <c r="C16" s="2"/>
      <c r="D16" s="2"/>
      <c r="E16" s="2"/>
    </row>
    <row r="17" spans="1:5" ht="114" x14ac:dyDescent="0.25">
      <c r="A17" s="11" t="s">
        <v>143</v>
      </c>
      <c r="B17" s="12" t="s">
        <v>144</v>
      </c>
      <c r="C17" s="12" t="s">
        <v>145</v>
      </c>
      <c r="D17" s="13">
        <v>12</v>
      </c>
      <c r="E17" s="14" t="s">
        <v>22</v>
      </c>
    </row>
    <row r="18" spans="1:5" ht="114" x14ac:dyDescent="0.25">
      <c r="A18" s="7" t="s">
        <v>146</v>
      </c>
      <c r="B18" s="8" t="s">
        <v>147</v>
      </c>
      <c r="C18" s="8" t="s">
        <v>148</v>
      </c>
      <c r="D18" s="9">
        <v>3</v>
      </c>
      <c r="E18" s="14" t="s">
        <v>22</v>
      </c>
    </row>
    <row r="19" spans="1:5" x14ac:dyDescent="0.25">
      <c r="A19" s="6" t="s">
        <v>149</v>
      </c>
      <c r="B19" s="2"/>
      <c r="C19" s="2"/>
      <c r="D19" s="2"/>
      <c r="E19" s="2"/>
    </row>
    <row r="20" spans="1:5" ht="95" x14ac:dyDescent="0.25">
      <c r="A20" s="11" t="s">
        <v>150</v>
      </c>
      <c r="B20" s="12" t="s">
        <v>151</v>
      </c>
      <c r="C20" s="12" t="s">
        <v>152</v>
      </c>
      <c r="D20" s="13">
        <v>5</v>
      </c>
      <c r="E20" s="10" t="s">
        <v>11</v>
      </c>
    </row>
    <row r="21" spans="1:5" ht="57" x14ac:dyDescent="0.25">
      <c r="A21" s="7" t="s">
        <v>42</v>
      </c>
      <c r="B21" s="8" t="s">
        <v>153</v>
      </c>
      <c r="C21" s="8" t="s">
        <v>154</v>
      </c>
      <c r="D21" s="9">
        <v>3</v>
      </c>
      <c r="E21" s="10" t="s">
        <v>11</v>
      </c>
    </row>
    <row r="22" spans="1:5" ht="76" x14ac:dyDescent="0.25">
      <c r="A22" s="11" t="s">
        <v>42</v>
      </c>
      <c r="B22" s="12" t="s">
        <v>155</v>
      </c>
      <c r="C22" s="12" t="s">
        <v>156</v>
      </c>
      <c r="D22" s="13">
        <v>2</v>
      </c>
      <c r="E22" s="10" t="s">
        <v>11</v>
      </c>
    </row>
    <row r="23" spans="1:5" x14ac:dyDescent="0.25">
      <c r="A23" s="6" t="s">
        <v>157</v>
      </c>
      <c r="B23" s="2"/>
      <c r="C23" s="2"/>
      <c r="D23" s="2"/>
      <c r="E23" s="2"/>
    </row>
    <row r="24" spans="1:5" ht="57" x14ac:dyDescent="0.25">
      <c r="A24" s="7" t="s">
        <v>158</v>
      </c>
      <c r="B24" s="8" t="s">
        <v>159</v>
      </c>
      <c r="C24" s="8" t="s">
        <v>160</v>
      </c>
      <c r="D24" s="9">
        <v>3</v>
      </c>
      <c r="E24" s="15" t="s">
        <v>38</v>
      </c>
    </row>
    <row r="26" spans="1:5" x14ac:dyDescent="0.25">
      <c r="A26" s="16" t="s">
        <v>53</v>
      </c>
      <c r="B26" s="2"/>
      <c r="C26" s="2"/>
      <c r="D26" s="5">
        <f>D5+D6+D7+D9+D10+D11+D12+D14+D15+D17+D18+D20+D21+D22+D24</f>
        <v>100</v>
      </c>
      <c r="E26" s="5"/>
    </row>
    <row r="28" spans="1:5" x14ac:dyDescent="0.25">
      <c r="A28" s="16" t="s">
        <v>54</v>
      </c>
      <c r="B28" s="2"/>
      <c r="C28" s="2"/>
      <c r="D28" s="2"/>
      <c r="E28" s="2"/>
    </row>
    <row r="29" spans="1:5" x14ac:dyDescent="0.25">
      <c r="A29" s="14" t="s">
        <v>55</v>
      </c>
      <c r="B29" s="17" t="s">
        <v>161</v>
      </c>
      <c r="C29" s="2"/>
      <c r="D29" s="2"/>
      <c r="E29" s="2"/>
    </row>
    <row r="30" spans="1:5" x14ac:dyDescent="0.25">
      <c r="A30" s="15" t="s">
        <v>57</v>
      </c>
      <c r="B30" s="18" t="s">
        <v>162</v>
      </c>
      <c r="C30" s="2"/>
      <c r="D30" s="2"/>
      <c r="E30" s="2"/>
    </row>
    <row r="31" spans="1:5" x14ac:dyDescent="0.25">
      <c r="A31" s="10" t="s">
        <v>59</v>
      </c>
      <c r="B31" s="19" t="s">
        <v>163</v>
      </c>
      <c r="C31" s="2"/>
      <c r="D31" s="2"/>
      <c r="E31" s="2"/>
    </row>
  </sheetData>
  <mergeCells count="13">
    <mergeCell ref="A1:E1"/>
    <mergeCell ref="A23:E23"/>
    <mergeCell ref="A13:E13"/>
    <mergeCell ref="A8:E8"/>
    <mergeCell ref="A26:C26"/>
    <mergeCell ref="B31:E31"/>
    <mergeCell ref="A4:E4"/>
    <mergeCell ref="A2:E2"/>
    <mergeCell ref="A16:E16"/>
    <mergeCell ref="A28:E28"/>
    <mergeCell ref="B30:E30"/>
    <mergeCell ref="A19:E19"/>
    <mergeCell ref="B29:E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pane ySplit="3" topLeftCell="A19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164</v>
      </c>
      <c r="B1" s="2"/>
      <c r="C1" s="2"/>
      <c r="D1" s="2"/>
      <c r="E1" s="2"/>
    </row>
    <row r="2" spans="1:5" x14ac:dyDescent="0.25">
      <c r="A2" s="4" t="s">
        <v>165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166</v>
      </c>
      <c r="B4" s="2"/>
      <c r="C4" s="2"/>
      <c r="D4" s="2"/>
      <c r="E4" s="2"/>
    </row>
    <row r="5" spans="1:5" ht="95" x14ac:dyDescent="0.25">
      <c r="A5" s="7" t="s">
        <v>167</v>
      </c>
      <c r="B5" s="8" t="s">
        <v>168</v>
      </c>
      <c r="C5" s="8" t="s">
        <v>169</v>
      </c>
      <c r="D5" s="9">
        <v>15</v>
      </c>
      <c r="E5" s="10" t="s">
        <v>11</v>
      </c>
    </row>
    <row r="6" spans="1:5" ht="95" x14ac:dyDescent="0.25">
      <c r="A6" s="20" t="s">
        <v>170</v>
      </c>
      <c r="B6" s="21" t="s">
        <v>171</v>
      </c>
      <c r="C6" s="21" t="s">
        <v>172</v>
      </c>
      <c r="D6" s="22">
        <v>10</v>
      </c>
      <c r="E6" s="10" t="s">
        <v>11</v>
      </c>
    </row>
    <row r="7" spans="1:5" ht="95" x14ac:dyDescent="0.25">
      <c r="A7" s="7" t="s">
        <v>173</v>
      </c>
      <c r="B7" s="8" t="s">
        <v>174</v>
      </c>
      <c r="C7" s="8" t="s">
        <v>175</v>
      </c>
      <c r="D7" s="9">
        <v>5</v>
      </c>
      <c r="E7" s="10" t="s">
        <v>11</v>
      </c>
    </row>
    <row r="8" spans="1:5" x14ac:dyDescent="0.25">
      <c r="A8" s="6" t="s">
        <v>176</v>
      </c>
      <c r="B8" s="2"/>
      <c r="C8" s="2"/>
      <c r="D8" s="2"/>
      <c r="E8" s="2"/>
    </row>
    <row r="9" spans="1:5" ht="95" x14ac:dyDescent="0.25">
      <c r="A9" s="20" t="s">
        <v>177</v>
      </c>
      <c r="B9" s="21" t="s">
        <v>178</v>
      </c>
      <c r="C9" s="21" t="s">
        <v>179</v>
      </c>
      <c r="D9" s="22">
        <v>15</v>
      </c>
      <c r="E9" s="10" t="s">
        <v>11</v>
      </c>
    </row>
    <row r="10" spans="1:5" ht="95" x14ac:dyDescent="0.25">
      <c r="A10" s="7" t="s">
        <v>180</v>
      </c>
      <c r="B10" s="8" t="s">
        <v>181</v>
      </c>
      <c r="C10" s="8" t="s">
        <v>182</v>
      </c>
      <c r="D10" s="9">
        <v>10</v>
      </c>
      <c r="E10" s="10" t="s">
        <v>11</v>
      </c>
    </row>
    <row r="11" spans="1:5" x14ac:dyDescent="0.25">
      <c r="A11" s="6" t="s">
        <v>72</v>
      </c>
      <c r="B11" s="2"/>
      <c r="C11" s="2"/>
      <c r="D11" s="2"/>
      <c r="E11" s="2"/>
    </row>
    <row r="12" spans="1:5" ht="76" x14ac:dyDescent="0.25">
      <c r="A12" s="20" t="s">
        <v>73</v>
      </c>
      <c r="B12" s="21" t="s">
        <v>183</v>
      </c>
      <c r="C12" s="21" t="s">
        <v>184</v>
      </c>
      <c r="D12" s="22">
        <v>12</v>
      </c>
      <c r="E12" s="10" t="s">
        <v>11</v>
      </c>
    </row>
    <row r="13" spans="1:5" ht="114" x14ac:dyDescent="0.25">
      <c r="A13" s="7" t="s">
        <v>76</v>
      </c>
      <c r="B13" s="8" t="s">
        <v>185</v>
      </c>
      <c r="C13" s="8" t="s">
        <v>186</v>
      </c>
      <c r="D13" s="9">
        <v>8</v>
      </c>
      <c r="E13" s="10" t="s">
        <v>11</v>
      </c>
    </row>
    <row r="14" spans="1:5" x14ac:dyDescent="0.25">
      <c r="A14" s="6" t="s">
        <v>187</v>
      </c>
      <c r="B14" s="2"/>
      <c r="C14" s="2"/>
      <c r="D14" s="2"/>
      <c r="E14" s="2"/>
    </row>
    <row r="15" spans="1:5" ht="76" x14ac:dyDescent="0.25">
      <c r="A15" s="20" t="s">
        <v>188</v>
      </c>
      <c r="B15" s="21" t="s">
        <v>189</v>
      </c>
      <c r="C15" s="21" t="s">
        <v>190</v>
      </c>
      <c r="D15" s="22">
        <v>8</v>
      </c>
      <c r="E15" s="14" t="s">
        <v>22</v>
      </c>
    </row>
    <row r="16" spans="1:5" ht="95" x14ac:dyDescent="0.25">
      <c r="A16" s="7" t="s">
        <v>86</v>
      </c>
      <c r="B16" s="8" t="s">
        <v>191</v>
      </c>
      <c r="C16" s="8" t="s">
        <v>192</v>
      </c>
      <c r="D16" s="9">
        <v>7</v>
      </c>
      <c r="E16" s="14" t="s">
        <v>22</v>
      </c>
    </row>
    <row r="17" spans="1:5" x14ac:dyDescent="0.25">
      <c r="A17" s="6" t="s">
        <v>193</v>
      </c>
      <c r="B17" s="2"/>
      <c r="C17" s="2"/>
      <c r="D17" s="2"/>
      <c r="E17" s="2"/>
    </row>
    <row r="18" spans="1:5" ht="76" x14ac:dyDescent="0.25">
      <c r="A18" s="20" t="s">
        <v>97</v>
      </c>
      <c r="B18" s="21" t="s">
        <v>194</v>
      </c>
      <c r="C18" s="21" t="s">
        <v>195</v>
      </c>
      <c r="D18" s="22">
        <v>6</v>
      </c>
      <c r="E18" s="10" t="s">
        <v>11</v>
      </c>
    </row>
    <row r="19" spans="1:5" ht="95" x14ac:dyDescent="0.25">
      <c r="A19" s="7" t="s">
        <v>196</v>
      </c>
      <c r="B19" s="8" t="s">
        <v>197</v>
      </c>
      <c r="C19" s="8" t="s">
        <v>198</v>
      </c>
      <c r="D19" s="9">
        <v>4</v>
      </c>
      <c r="E19" s="10" t="s">
        <v>11</v>
      </c>
    </row>
    <row r="21" spans="1:5" x14ac:dyDescent="0.25">
      <c r="A21" s="16" t="s">
        <v>53</v>
      </c>
      <c r="B21" s="2"/>
      <c r="C21" s="2"/>
      <c r="D21" s="5">
        <f>D5+D6+D7+D9+D10+D12+D13+D15+D16+D18+D19</f>
        <v>100</v>
      </c>
      <c r="E21" s="5"/>
    </row>
    <row r="23" spans="1:5" x14ac:dyDescent="0.25">
      <c r="A23" s="16" t="s">
        <v>106</v>
      </c>
      <c r="B23" s="2"/>
      <c r="C23" s="2"/>
      <c r="D23" s="2"/>
      <c r="E23" s="2"/>
    </row>
    <row r="24" spans="1:5" x14ac:dyDescent="0.25">
      <c r="A24" s="9" t="s">
        <v>107</v>
      </c>
      <c r="B24" s="23" t="s">
        <v>199</v>
      </c>
      <c r="C24" s="2"/>
      <c r="D24" s="2"/>
      <c r="E24" s="2"/>
    </row>
    <row r="25" spans="1:5" x14ac:dyDescent="0.25">
      <c r="A25" s="9" t="s">
        <v>109</v>
      </c>
      <c r="B25" s="23" t="s">
        <v>200</v>
      </c>
      <c r="C25" s="2"/>
      <c r="D25" s="2"/>
      <c r="E25" s="2"/>
    </row>
    <row r="26" spans="1:5" x14ac:dyDescent="0.25">
      <c r="A26" s="9" t="s">
        <v>111</v>
      </c>
      <c r="B26" s="23" t="s">
        <v>201</v>
      </c>
      <c r="C26" s="2"/>
      <c r="D26" s="2"/>
      <c r="E26" s="2"/>
    </row>
    <row r="28" spans="1:5" x14ac:dyDescent="0.25">
      <c r="A28" s="4" t="s">
        <v>202</v>
      </c>
      <c r="B28" s="2"/>
      <c r="C28" s="2"/>
      <c r="D28" s="2"/>
      <c r="E28" s="2"/>
    </row>
  </sheetData>
  <mergeCells count="13">
    <mergeCell ref="A1:E1"/>
    <mergeCell ref="A23:E23"/>
    <mergeCell ref="A21:C21"/>
    <mergeCell ref="B24:E24"/>
    <mergeCell ref="A8:E8"/>
    <mergeCell ref="A17:E17"/>
    <mergeCell ref="B26:E26"/>
    <mergeCell ref="A4:E4"/>
    <mergeCell ref="A2:E2"/>
    <mergeCell ref="A14:E14"/>
    <mergeCell ref="A28:E28"/>
    <mergeCell ref="A11:E11"/>
    <mergeCell ref="B25:E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A1:E30"/>
  <sheetViews>
    <sheetView workbookViewId="0">
      <pane ySplit="3" topLeftCell="A29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203</v>
      </c>
      <c r="B1" s="2"/>
      <c r="C1" s="2"/>
      <c r="D1" s="2"/>
      <c r="E1" s="2"/>
    </row>
    <row r="2" spans="1:5" x14ac:dyDescent="0.25">
      <c r="A2" s="4" t="s">
        <v>204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205</v>
      </c>
      <c r="B4" s="2"/>
      <c r="C4" s="2"/>
      <c r="D4" s="2"/>
      <c r="E4" s="2"/>
    </row>
    <row r="5" spans="1:5" ht="76" x14ac:dyDescent="0.25">
      <c r="A5" s="7" t="s">
        <v>8</v>
      </c>
      <c r="B5" s="8" t="s">
        <v>206</v>
      </c>
      <c r="C5" s="8" t="s">
        <v>207</v>
      </c>
      <c r="D5" s="9">
        <v>15</v>
      </c>
      <c r="E5" s="10" t="s">
        <v>11</v>
      </c>
    </row>
    <row r="6" spans="1:5" ht="57" x14ac:dyDescent="0.25">
      <c r="A6" s="11" t="s">
        <v>8</v>
      </c>
      <c r="B6" s="12" t="s">
        <v>208</v>
      </c>
      <c r="C6" s="12" t="s">
        <v>209</v>
      </c>
      <c r="D6" s="13">
        <v>12</v>
      </c>
      <c r="E6" s="10" t="s">
        <v>11</v>
      </c>
    </row>
    <row r="7" spans="1:5" ht="38" x14ac:dyDescent="0.25">
      <c r="A7" s="7" t="s">
        <v>8</v>
      </c>
      <c r="B7" s="8" t="s">
        <v>210</v>
      </c>
      <c r="C7" s="8" t="s">
        <v>211</v>
      </c>
      <c r="D7" s="9">
        <v>8</v>
      </c>
      <c r="E7" s="10" t="s">
        <v>11</v>
      </c>
    </row>
    <row r="8" spans="1:5" x14ac:dyDescent="0.25">
      <c r="A8" s="6" t="s">
        <v>212</v>
      </c>
      <c r="B8" s="2"/>
      <c r="C8" s="2"/>
      <c r="D8" s="2"/>
      <c r="E8" s="2"/>
    </row>
    <row r="9" spans="1:5" ht="76" x14ac:dyDescent="0.25">
      <c r="A9" s="11" t="s">
        <v>213</v>
      </c>
      <c r="B9" s="12" t="s">
        <v>214</v>
      </c>
      <c r="C9" s="12" t="s">
        <v>215</v>
      </c>
      <c r="D9" s="13">
        <v>12</v>
      </c>
      <c r="E9" s="10" t="s">
        <v>11</v>
      </c>
    </row>
    <row r="10" spans="1:5" ht="38" x14ac:dyDescent="0.25">
      <c r="A10" s="7" t="s">
        <v>213</v>
      </c>
      <c r="B10" s="8" t="s">
        <v>216</v>
      </c>
      <c r="C10" s="8" t="s">
        <v>217</v>
      </c>
      <c r="D10" s="9">
        <v>8</v>
      </c>
      <c r="E10" s="10" t="s">
        <v>11</v>
      </c>
    </row>
    <row r="11" spans="1:5" x14ac:dyDescent="0.25">
      <c r="A11" s="6" t="s">
        <v>218</v>
      </c>
      <c r="B11" s="2"/>
      <c r="C11" s="2"/>
      <c r="D11" s="2"/>
      <c r="E11" s="2"/>
    </row>
    <row r="12" spans="1:5" ht="57" x14ac:dyDescent="0.25">
      <c r="A12" s="11" t="s">
        <v>219</v>
      </c>
      <c r="B12" s="12" t="s">
        <v>220</v>
      </c>
      <c r="C12" s="12" t="s">
        <v>221</v>
      </c>
      <c r="D12" s="13">
        <v>5</v>
      </c>
      <c r="E12" s="10" t="s">
        <v>11</v>
      </c>
    </row>
    <row r="13" spans="1:5" x14ac:dyDescent="0.25">
      <c r="A13" s="6" t="s">
        <v>222</v>
      </c>
      <c r="B13" s="2"/>
      <c r="C13" s="2"/>
      <c r="D13" s="2"/>
      <c r="E13" s="2"/>
    </row>
    <row r="14" spans="1:5" ht="57" x14ac:dyDescent="0.25">
      <c r="A14" s="7" t="s">
        <v>42</v>
      </c>
      <c r="B14" s="8" t="s">
        <v>223</v>
      </c>
      <c r="C14" s="8" t="s">
        <v>224</v>
      </c>
      <c r="D14" s="9">
        <v>6</v>
      </c>
      <c r="E14" s="10" t="s">
        <v>11</v>
      </c>
    </row>
    <row r="15" spans="1:5" ht="76" x14ac:dyDescent="0.25">
      <c r="A15" s="11" t="s">
        <v>42</v>
      </c>
      <c r="B15" s="12" t="s">
        <v>225</v>
      </c>
      <c r="C15" s="12" t="s">
        <v>226</v>
      </c>
      <c r="D15" s="13">
        <v>8</v>
      </c>
      <c r="E15" s="10" t="s">
        <v>11</v>
      </c>
    </row>
    <row r="16" spans="1:5" ht="57" x14ac:dyDescent="0.25">
      <c r="A16" s="7" t="s">
        <v>42</v>
      </c>
      <c r="B16" s="8" t="s">
        <v>227</v>
      </c>
      <c r="C16" s="8" t="s">
        <v>228</v>
      </c>
      <c r="D16" s="9">
        <v>10</v>
      </c>
      <c r="E16" s="10" t="s">
        <v>11</v>
      </c>
    </row>
    <row r="17" spans="1:5" x14ac:dyDescent="0.25">
      <c r="A17" s="6" t="s">
        <v>229</v>
      </c>
      <c r="B17" s="2"/>
      <c r="C17" s="2"/>
      <c r="D17" s="2"/>
      <c r="E17" s="2"/>
    </row>
    <row r="18" spans="1:5" ht="57" x14ac:dyDescent="0.25">
      <c r="A18" s="11" t="s">
        <v>230</v>
      </c>
      <c r="B18" s="12" t="s">
        <v>231</v>
      </c>
      <c r="C18" s="12" t="s">
        <v>232</v>
      </c>
      <c r="D18" s="13">
        <v>8</v>
      </c>
      <c r="E18" s="10" t="s">
        <v>11</v>
      </c>
    </row>
    <row r="19" spans="1:5" ht="57" x14ac:dyDescent="0.25">
      <c r="A19" s="7" t="s">
        <v>230</v>
      </c>
      <c r="B19" s="8" t="s">
        <v>233</v>
      </c>
      <c r="C19" s="8" t="s">
        <v>234</v>
      </c>
      <c r="D19" s="9">
        <v>5</v>
      </c>
      <c r="E19" s="10" t="s">
        <v>11</v>
      </c>
    </row>
    <row r="20" spans="1:5" ht="57" x14ac:dyDescent="0.25">
      <c r="A20" s="11" t="s">
        <v>230</v>
      </c>
      <c r="B20" s="12" t="s">
        <v>235</v>
      </c>
      <c r="C20" s="12" t="s">
        <v>236</v>
      </c>
      <c r="D20" s="13">
        <v>6</v>
      </c>
      <c r="E20" s="10" t="s">
        <v>11</v>
      </c>
    </row>
    <row r="21" spans="1:5" x14ac:dyDescent="0.25">
      <c r="A21" s="6" t="s">
        <v>237</v>
      </c>
      <c r="B21" s="2"/>
      <c r="C21" s="2"/>
      <c r="D21" s="2"/>
      <c r="E21" s="2"/>
    </row>
    <row r="22" spans="1:5" ht="57" x14ac:dyDescent="0.25">
      <c r="A22" s="7" t="s">
        <v>238</v>
      </c>
      <c r="B22" s="8" t="s">
        <v>239</v>
      </c>
      <c r="C22" s="8" t="s">
        <v>240</v>
      </c>
      <c r="D22" s="9">
        <v>25</v>
      </c>
      <c r="E22" s="14" t="s">
        <v>22</v>
      </c>
    </row>
    <row r="23" spans="1:5" ht="76" x14ac:dyDescent="0.25">
      <c r="A23" s="11" t="s">
        <v>238</v>
      </c>
      <c r="B23" s="12" t="s">
        <v>241</v>
      </c>
      <c r="C23" s="12" t="s">
        <v>242</v>
      </c>
      <c r="D23" s="13">
        <v>15</v>
      </c>
      <c r="E23" s="14" t="s">
        <v>22</v>
      </c>
    </row>
    <row r="25" spans="1:5" x14ac:dyDescent="0.25">
      <c r="A25" s="16" t="s">
        <v>53</v>
      </c>
      <c r="B25" s="2"/>
      <c r="C25" s="2"/>
      <c r="D25" s="5">
        <f>D5+D6+D7+D9+D10+D12+D14+D15+D16+D18+D19+D20+D22+D23</f>
        <v>143</v>
      </c>
      <c r="E25" s="5"/>
    </row>
    <row r="27" spans="1:5" x14ac:dyDescent="0.25">
      <c r="A27" s="16" t="s">
        <v>54</v>
      </c>
      <c r="B27" s="2"/>
      <c r="C27" s="2"/>
      <c r="D27" s="2"/>
      <c r="E27" s="2"/>
    </row>
    <row r="28" spans="1:5" x14ac:dyDescent="0.25">
      <c r="A28" s="14" t="s">
        <v>55</v>
      </c>
      <c r="B28" s="17" t="s">
        <v>243</v>
      </c>
      <c r="C28" s="2"/>
      <c r="D28" s="2"/>
      <c r="E28" s="2"/>
    </row>
    <row r="29" spans="1:5" x14ac:dyDescent="0.25">
      <c r="A29" s="15" t="s">
        <v>57</v>
      </c>
      <c r="B29" s="18" t="s">
        <v>244</v>
      </c>
      <c r="C29" s="2"/>
      <c r="D29" s="2"/>
      <c r="E29" s="2"/>
    </row>
    <row r="30" spans="1:5" x14ac:dyDescent="0.25">
      <c r="A30" s="10" t="s">
        <v>59</v>
      </c>
      <c r="B30" s="19" t="s">
        <v>245</v>
      </c>
      <c r="C30" s="2"/>
      <c r="D30" s="2"/>
      <c r="E30" s="2"/>
    </row>
  </sheetData>
  <mergeCells count="13">
    <mergeCell ref="A1:E1"/>
    <mergeCell ref="A13:E13"/>
    <mergeCell ref="A8:E8"/>
    <mergeCell ref="B28:E28"/>
    <mergeCell ref="A17:E17"/>
    <mergeCell ref="A27:E27"/>
    <mergeCell ref="A21:E21"/>
    <mergeCell ref="A25:C25"/>
    <mergeCell ref="A4:E4"/>
    <mergeCell ref="A2:E2"/>
    <mergeCell ref="B30:E30"/>
    <mergeCell ref="A11:E11"/>
    <mergeCell ref="B29:E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0"/>
  <sheetViews>
    <sheetView workbookViewId="0">
      <pane ySplit="3" topLeftCell="A19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246</v>
      </c>
      <c r="B1" s="2"/>
      <c r="C1" s="2"/>
      <c r="D1" s="2"/>
      <c r="E1" s="2"/>
    </row>
    <row r="2" spans="1:5" x14ac:dyDescent="0.25">
      <c r="A2" s="4" t="s">
        <v>247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248</v>
      </c>
      <c r="B4" s="2"/>
      <c r="C4" s="2"/>
      <c r="D4" s="2"/>
      <c r="E4" s="2"/>
    </row>
    <row r="5" spans="1:5" ht="76" x14ac:dyDescent="0.25">
      <c r="A5" s="7" t="s">
        <v>249</v>
      </c>
      <c r="B5" s="8" t="s">
        <v>250</v>
      </c>
      <c r="C5" s="8" t="s">
        <v>251</v>
      </c>
      <c r="D5" s="9">
        <v>15</v>
      </c>
      <c r="E5" s="10" t="s">
        <v>11</v>
      </c>
    </row>
    <row r="6" spans="1:5" ht="76" x14ac:dyDescent="0.25">
      <c r="A6" s="20" t="s">
        <v>66</v>
      </c>
      <c r="B6" s="21" t="s">
        <v>252</v>
      </c>
      <c r="C6" s="21" t="s">
        <v>253</v>
      </c>
      <c r="D6" s="22">
        <v>10</v>
      </c>
      <c r="E6" s="10" t="s">
        <v>11</v>
      </c>
    </row>
    <row r="7" spans="1:5" ht="76" x14ac:dyDescent="0.25">
      <c r="A7" s="7" t="s">
        <v>180</v>
      </c>
      <c r="B7" s="8" t="s">
        <v>254</v>
      </c>
      <c r="C7" s="8" t="s">
        <v>255</v>
      </c>
      <c r="D7" s="9">
        <v>5</v>
      </c>
      <c r="E7" s="10" t="s">
        <v>11</v>
      </c>
    </row>
    <row r="8" spans="1:5" x14ac:dyDescent="0.25">
      <c r="A8" s="6" t="s">
        <v>72</v>
      </c>
      <c r="B8" s="2"/>
      <c r="C8" s="2"/>
      <c r="D8" s="2"/>
      <c r="E8" s="2"/>
    </row>
    <row r="9" spans="1:5" ht="76" x14ac:dyDescent="0.25">
      <c r="A9" s="20" t="s">
        <v>73</v>
      </c>
      <c r="B9" s="21" t="s">
        <v>256</v>
      </c>
      <c r="C9" s="21" t="s">
        <v>257</v>
      </c>
      <c r="D9" s="22">
        <v>12</v>
      </c>
      <c r="E9" s="10" t="s">
        <v>11</v>
      </c>
    </row>
    <row r="10" spans="1:5" ht="76" x14ac:dyDescent="0.25">
      <c r="A10" s="7" t="s">
        <v>76</v>
      </c>
      <c r="B10" s="8" t="s">
        <v>258</v>
      </c>
      <c r="C10" s="8" t="s">
        <v>259</v>
      </c>
      <c r="D10" s="9">
        <v>8</v>
      </c>
      <c r="E10" s="10" t="s">
        <v>11</v>
      </c>
    </row>
    <row r="11" spans="1:5" x14ac:dyDescent="0.25">
      <c r="A11" s="6" t="s">
        <v>260</v>
      </c>
      <c r="B11" s="2"/>
      <c r="C11" s="2"/>
      <c r="D11" s="2"/>
      <c r="E11" s="2"/>
    </row>
    <row r="12" spans="1:5" ht="76" x14ac:dyDescent="0.25">
      <c r="A12" s="20" t="s">
        <v>261</v>
      </c>
      <c r="B12" s="21" t="s">
        <v>262</v>
      </c>
      <c r="C12" s="21" t="s">
        <v>263</v>
      </c>
      <c r="D12" s="22">
        <v>12</v>
      </c>
      <c r="E12" s="14" t="s">
        <v>22</v>
      </c>
    </row>
    <row r="13" spans="1:5" ht="76" x14ac:dyDescent="0.25">
      <c r="A13" s="7" t="s">
        <v>264</v>
      </c>
      <c r="B13" s="8" t="s">
        <v>265</v>
      </c>
      <c r="C13" s="8" t="s">
        <v>266</v>
      </c>
      <c r="D13" s="9">
        <v>6</v>
      </c>
      <c r="E13" s="14" t="s">
        <v>22</v>
      </c>
    </row>
    <row r="14" spans="1:5" ht="76" x14ac:dyDescent="0.25">
      <c r="A14" s="20" t="s">
        <v>267</v>
      </c>
      <c r="B14" s="21" t="s">
        <v>268</v>
      </c>
      <c r="C14" s="21" t="s">
        <v>269</v>
      </c>
      <c r="D14" s="22">
        <v>7</v>
      </c>
      <c r="E14" s="14" t="s">
        <v>22</v>
      </c>
    </row>
    <row r="15" spans="1:5" x14ac:dyDescent="0.25">
      <c r="A15" s="6" t="s">
        <v>270</v>
      </c>
      <c r="B15" s="2"/>
      <c r="C15" s="2"/>
      <c r="D15" s="2"/>
      <c r="E15" s="2"/>
    </row>
    <row r="16" spans="1:5" ht="95" x14ac:dyDescent="0.25">
      <c r="A16" s="7" t="s">
        <v>97</v>
      </c>
      <c r="B16" s="8" t="s">
        <v>271</v>
      </c>
      <c r="C16" s="8" t="s">
        <v>272</v>
      </c>
      <c r="D16" s="9">
        <v>10</v>
      </c>
      <c r="E16" s="10" t="s">
        <v>11</v>
      </c>
    </row>
    <row r="17" spans="1:5" x14ac:dyDescent="0.25">
      <c r="A17" s="6" t="s">
        <v>273</v>
      </c>
      <c r="B17" s="2"/>
      <c r="C17" s="2"/>
      <c r="D17" s="2"/>
      <c r="E17" s="2"/>
    </row>
    <row r="18" spans="1:5" ht="76" x14ac:dyDescent="0.25">
      <c r="A18" s="20" t="s">
        <v>274</v>
      </c>
      <c r="B18" s="21" t="s">
        <v>275</v>
      </c>
      <c r="C18" s="21" t="s">
        <v>276</v>
      </c>
      <c r="D18" s="22">
        <v>6</v>
      </c>
      <c r="E18" s="15" t="s">
        <v>38</v>
      </c>
    </row>
    <row r="19" spans="1:5" ht="76" x14ac:dyDescent="0.25">
      <c r="A19" s="7" t="s">
        <v>277</v>
      </c>
      <c r="B19" s="8" t="s">
        <v>278</v>
      </c>
      <c r="C19" s="8" t="s">
        <v>279</v>
      </c>
      <c r="D19" s="9">
        <v>4</v>
      </c>
      <c r="E19" s="10" t="s">
        <v>11</v>
      </c>
    </row>
    <row r="20" spans="1:5" x14ac:dyDescent="0.25">
      <c r="A20" s="6" t="s">
        <v>280</v>
      </c>
      <c r="B20" s="2"/>
      <c r="C20" s="2"/>
      <c r="D20" s="2"/>
      <c r="E20" s="2"/>
    </row>
    <row r="21" spans="1:5" ht="76" x14ac:dyDescent="0.25">
      <c r="A21" s="20" t="s">
        <v>281</v>
      </c>
      <c r="B21" s="21" t="s">
        <v>282</v>
      </c>
      <c r="C21" s="21" t="s">
        <v>283</v>
      </c>
      <c r="D21" s="22">
        <v>5</v>
      </c>
      <c r="E21" s="10" t="s">
        <v>11</v>
      </c>
    </row>
    <row r="23" spans="1:5" x14ac:dyDescent="0.25">
      <c r="A23" s="16" t="s">
        <v>53</v>
      </c>
      <c r="B23" s="2"/>
      <c r="C23" s="2"/>
      <c r="D23" s="5">
        <f>D5+D6+D7+D9+D10+D12+D13+D14+D16+D18+D19+D21</f>
        <v>100</v>
      </c>
      <c r="E23" s="5"/>
    </row>
    <row r="25" spans="1:5" x14ac:dyDescent="0.25">
      <c r="A25" s="16" t="s">
        <v>106</v>
      </c>
      <c r="B25" s="2"/>
      <c r="C25" s="2"/>
      <c r="D25" s="2"/>
      <c r="E25" s="2"/>
    </row>
    <row r="26" spans="1:5" x14ac:dyDescent="0.25">
      <c r="A26" s="9" t="s">
        <v>107</v>
      </c>
      <c r="B26" s="23" t="s">
        <v>284</v>
      </c>
      <c r="C26" s="2"/>
      <c r="D26" s="2"/>
      <c r="E26" s="2"/>
    </row>
    <row r="27" spans="1:5" x14ac:dyDescent="0.25">
      <c r="A27" s="9" t="s">
        <v>109</v>
      </c>
      <c r="B27" s="23" t="s">
        <v>285</v>
      </c>
      <c r="C27" s="2"/>
      <c r="D27" s="2"/>
      <c r="E27" s="2"/>
    </row>
    <row r="28" spans="1:5" x14ac:dyDescent="0.25">
      <c r="A28" s="9" t="s">
        <v>111</v>
      </c>
      <c r="B28" s="23" t="s">
        <v>286</v>
      </c>
      <c r="C28" s="2"/>
      <c r="D28" s="2"/>
      <c r="E28" s="2"/>
    </row>
    <row r="30" spans="1:5" x14ac:dyDescent="0.25">
      <c r="A30" s="4" t="s">
        <v>287</v>
      </c>
      <c r="B30" s="2"/>
      <c r="C30" s="2"/>
      <c r="D30" s="2"/>
      <c r="E30" s="2"/>
    </row>
  </sheetData>
  <mergeCells count="14">
    <mergeCell ref="A1:E1"/>
    <mergeCell ref="A8:E8"/>
    <mergeCell ref="B28:E28"/>
    <mergeCell ref="A17:E17"/>
    <mergeCell ref="A2:E2"/>
    <mergeCell ref="A23:C23"/>
    <mergeCell ref="A15:E15"/>
    <mergeCell ref="A25:E25"/>
    <mergeCell ref="A11:E11"/>
    <mergeCell ref="A30:E30"/>
    <mergeCell ref="B26:E26"/>
    <mergeCell ref="B27:E27"/>
    <mergeCell ref="A4:E4"/>
    <mergeCell ref="A20:E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/>
  </sheetPr>
  <dimension ref="A1:E25"/>
  <sheetViews>
    <sheetView workbookViewId="0">
      <pane ySplit="3" topLeftCell="A13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288</v>
      </c>
      <c r="B1" s="2"/>
      <c r="C1" s="2"/>
      <c r="D1" s="2"/>
      <c r="E1" s="2"/>
    </row>
    <row r="2" spans="1:5" x14ac:dyDescent="0.25">
      <c r="A2" s="4" t="s">
        <v>289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290</v>
      </c>
      <c r="B4" s="2"/>
      <c r="C4" s="2"/>
      <c r="D4" s="2"/>
      <c r="E4" s="2"/>
    </row>
    <row r="5" spans="1:5" ht="76" x14ac:dyDescent="0.25">
      <c r="A5" s="7" t="s">
        <v>291</v>
      </c>
      <c r="B5" s="8" t="s">
        <v>292</v>
      </c>
      <c r="C5" s="8" t="s">
        <v>293</v>
      </c>
      <c r="D5" s="9">
        <v>10</v>
      </c>
      <c r="E5" s="10" t="s">
        <v>11</v>
      </c>
    </row>
    <row r="6" spans="1:5" ht="57" x14ac:dyDescent="0.25">
      <c r="A6" s="11" t="s">
        <v>291</v>
      </c>
      <c r="B6" s="12" t="s">
        <v>294</v>
      </c>
      <c r="C6" s="12" t="s">
        <v>295</v>
      </c>
      <c r="D6" s="13">
        <v>8</v>
      </c>
      <c r="E6" s="10" t="s">
        <v>11</v>
      </c>
    </row>
    <row r="7" spans="1:5" ht="57" x14ac:dyDescent="0.25">
      <c r="A7" s="7" t="s">
        <v>291</v>
      </c>
      <c r="B7" s="8" t="s">
        <v>296</v>
      </c>
      <c r="C7" s="8" t="s">
        <v>297</v>
      </c>
      <c r="D7" s="9">
        <v>7</v>
      </c>
      <c r="E7" s="10" t="s">
        <v>11</v>
      </c>
    </row>
    <row r="8" spans="1:5" x14ac:dyDescent="0.25">
      <c r="A8" s="6" t="s">
        <v>298</v>
      </c>
      <c r="B8" s="2"/>
      <c r="C8" s="2"/>
      <c r="D8" s="2"/>
      <c r="E8" s="2"/>
    </row>
    <row r="9" spans="1:5" ht="76" x14ac:dyDescent="0.25">
      <c r="A9" s="11" t="s">
        <v>299</v>
      </c>
      <c r="B9" s="12" t="s">
        <v>300</v>
      </c>
      <c r="C9" s="12" t="s">
        <v>301</v>
      </c>
      <c r="D9" s="13">
        <v>8</v>
      </c>
      <c r="E9" s="10" t="s">
        <v>11</v>
      </c>
    </row>
    <row r="10" spans="1:5" x14ac:dyDescent="0.25">
      <c r="A10" s="6" t="s">
        <v>302</v>
      </c>
      <c r="B10" s="2"/>
      <c r="C10" s="2"/>
      <c r="D10" s="2"/>
      <c r="E10" s="2"/>
    </row>
    <row r="11" spans="1:5" ht="57" x14ac:dyDescent="0.25">
      <c r="A11" s="7" t="s">
        <v>303</v>
      </c>
      <c r="B11" s="8" t="s">
        <v>304</v>
      </c>
      <c r="C11" s="8" t="s">
        <v>305</v>
      </c>
      <c r="D11" s="9">
        <v>12</v>
      </c>
      <c r="E11" s="10" t="s">
        <v>11</v>
      </c>
    </row>
    <row r="12" spans="1:5" x14ac:dyDescent="0.25">
      <c r="A12" s="6" t="s">
        <v>306</v>
      </c>
      <c r="B12" s="2"/>
      <c r="C12" s="2"/>
      <c r="D12" s="2"/>
      <c r="E12" s="2"/>
    </row>
    <row r="13" spans="1:5" ht="95" x14ac:dyDescent="0.25">
      <c r="A13" s="11" t="s">
        <v>307</v>
      </c>
      <c r="B13" s="12" t="s">
        <v>308</v>
      </c>
      <c r="C13" s="12" t="s">
        <v>309</v>
      </c>
      <c r="D13" s="13">
        <v>15</v>
      </c>
      <c r="E13" s="15" t="s">
        <v>38</v>
      </c>
    </row>
    <row r="14" spans="1:5" x14ac:dyDescent="0.25">
      <c r="A14" s="6" t="s">
        <v>310</v>
      </c>
      <c r="B14" s="2"/>
      <c r="C14" s="2"/>
      <c r="D14" s="2"/>
      <c r="E14" s="2"/>
    </row>
    <row r="15" spans="1:5" ht="76" x14ac:dyDescent="0.25">
      <c r="A15" s="7" t="s">
        <v>311</v>
      </c>
      <c r="B15" s="8" t="s">
        <v>312</v>
      </c>
      <c r="C15" s="8" t="s">
        <v>313</v>
      </c>
      <c r="D15" s="9">
        <v>20</v>
      </c>
      <c r="E15" s="14" t="s">
        <v>22</v>
      </c>
    </row>
    <row r="16" spans="1:5" x14ac:dyDescent="0.25">
      <c r="A16" s="6" t="s">
        <v>314</v>
      </c>
      <c r="B16" s="2"/>
      <c r="C16" s="2"/>
      <c r="D16" s="2"/>
      <c r="E16" s="2"/>
    </row>
    <row r="17" spans="1:5" ht="57" x14ac:dyDescent="0.25">
      <c r="A17" s="11" t="s">
        <v>315</v>
      </c>
      <c r="B17" s="12" t="s">
        <v>316</v>
      </c>
      <c r="C17" s="12" t="s">
        <v>317</v>
      </c>
      <c r="D17" s="13">
        <v>5</v>
      </c>
      <c r="E17" s="10" t="s">
        <v>11</v>
      </c>
    </row>
    <row r="18" spans="1:5" ht="57" x14ac:dyDescent="0.25">
      <c r="A18" s="7" t="s">
        <v>315</v>
      </c>
      <c r="B18" s="8" t="s">
        <v>318</v>
      </c>
      <c r="C18" s="8" t="s">
        <v>319</v>
      </c>
      <c r="D18" s="9">
        <v>3</v>
      </c>
      <c r="E18" s="10" t="s">
        <v>11</v>
      </c>
    </row>
    <row r="20" spans="1:5" x14ac:dyDescent="0.25">
      <c r="A20" s="16" t="s">
        <v>53</v>
      </c>
      <c r="B20" s="2"/>
      <c r="C20" s="2"/>
      <c r="D20" s="5">
        <f>D5+D6+D7+D9+D11+D13+D15+D17+D18</f>
        <v>88</v>
      </c>
      <c r="E20" s="5"/>
    </row>
    <row r="22" spans="1:5" x14ac:dyDescent="0.25">
      <c r="A22" s="16" t="s">
        <v>54</v>
      </c>
      <c r="B22" s="2"/>
      <c r="C22" s="2"/>
      <c r="D22" s="2"/>
      <c r="E22" s="2"/>
    </row>
    <row r="23" spans="1:5" x14ac:dyDescent="0.25">
      <c r="A23" s="14" t="s">
        <v>320</v>
      </c>
      <c r="B23" s="17" t="s">
        <v>321</v>
      </c>
      <c r="C23" s="2"/>
      <c r="D23" s="2"/>
      <c r="E23" s="2"/>
    </row>
    <row r="24" spans="1:5" x14ac:dyDescent="0.25">
      <c r="A24" s="15" t="s">
        <v>322</v>
      </c>
      <c r="B24" s="18" t="s">
        <v>323</v>
      </c>
      <c r="C24" s="2"/>
      <c r="D24" s="2"/>
      <c r="E24" s="2"/>
    </row>
    <row r="25" spans="1:5" x14ac:dyDescent="0.25">
      <c r="A25" s="10" t="s">
        <v>324</v>
      </c>
      <c r="B25" s="19" t="s">
        <v>325</v>
      </c>
      <c r="C25" s="2"/>
      <c r="D25" s="2"/>
      <c r="E25" s="2"/>
    </row>
  </sheetData>
  <mergeCells count="13">
    <mergeCell ref="A1:E1"/>
    <mergeCell ref="B25:E25"/>
    <mergeCell ref="B24:E24"/>
    <mergeCell ref="A8:E8"/>
    <mergeCell ref="A22:E22"/>
    <mergeCell ref="A20:C20"/>
    <mergeCell ref="B23:E23"/>
    <mergeCell ref="A12:E12"/>
    <mergeCell ref="A4:E4"/>
    <mergeCell ref="A2:E2"/>
    <mergeCell ref="A16:E16"/>
    <mergeCell ref="A14:E14"/>
    <mergeCell ref="A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0"/>
  <sheetViews>
    <sheetView workbookViewId="0">
      <pane ySplit="3" topLeftCell="A25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326</v>
      </c>
      <c r="B1" s="2"/>
      <c r="C1" s="2"/>
      <c r="D1" s="2"/>
      <c r="E1" s="2"/>
    </row>
    <row r="2" spans="1:5" x14ac:dyDescent="0.25">
      <c r="A2" s="4" t="s">
        <v>327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328</v>
      </c>
      <c r="B4" s="2"/>
      <c r="C4" s="2"/>
      <c r="D4" s="2"/>
      <c r="E4" s="2"/>
    </row>
    <row r="5" spans="1:5" ht="95" x14ac:dyDescent="0.25">
      <c r="A5" s="7" t="s">
        <v>329</v>
      </c>
      <c r="B5" s="8" t="s">
        <v>330</v>
      </c>
      <c r="C5" s="8" t="s">
        <v>331</v>
      </c>
      <c r="D5" s="9">
        <v>15</v>
      </c>
      <c r="E5" s="10" t="s">
        <v>11</v>
      </c>
    </row>
    <row r="6" spans="1:5" ht="76" x14ac:dyDescent="0.25">
      <c r="A6" s="20" t="s">
        <v>332</v>
      </c>
      <c r="B6" s="21" t="s">
        <v>333</v>
      </c>
      <c r="C6" s="21" t="s">
        <v>334</v>
      </c>
      <c r="D6" s="22">
        <v>10</v>
      </c>
      <c r="E6" s="10" t="s">
        <v>11</v>
      </c>
    </row>
    <row r="7" spans="1:5" ht="76" x14ac:dyDescent="0.25">
      <c r="A7" s="7" t="s">
        <v>335</v>
      </c>
      <c r="B7" s="8" t="s">
        <v>336</v>
      </c>
      <c r="C7" s="8" t="s">
        <v>337</v>
      </c>
      <c r="D7" s="9">
        <v>5</v>
      </c>
      <c r="E7" s="10" t="s">
        <v>11</v>
      </c>
    </row>
    <row r="8" spans="1:5" x14ac:dyDescent="0.25">
      <c r="A8" s="6" t="s">
        <v>338</v>
      </c>
      <c r="B8" s="2"/>
      <c r="C8" s="2"/>
      <c r="D8" s="2"/>
      <c r="E8" s="2"/>
    </row>
    <row r="9" spans="1:5" ht="95" x14ac:dyDescent="0.25">
      <c r="A9" s="20" t="s">
        <v>339</v>
      </c>
      <c r="B9" s="21" t="s">
        <v>340</v>
      </c>
      <c r="C9" s="21" t="s">
        <v>341</v>
      </c>
      <c r="D9" s="22">
        <v>12</v>
      </c>
      <c r="E9" s="15" t="s">
        <v>38</v>
      </c>
    </row>
    <row r="10" spans="1:5" ht="95" x14ac:dyDescent="0.25">
      <c r="A10" s="7" t="s">
        <v>342</v>
      </c>
      <c r="B10" s="8" t="s">
        <v>343</v>
      </c>
      <c r="C10" s="8" t="s">
        <v>344</v>
      </c>
      <c r="D10" s="9">
        <v>8</v>
      </c>
      <c r="E10" s="15" t="s">
        <v>38</v>
      </c>
    </row>
    <row r="11" spans="1:5" ht="95" x14ac:dyDescent="0.25">
      <c r="A11" s="20" t="s">
        <v>345</v>
      </c>
      <c r="B11" s="21" t="s">
        <v>346</v>
      </c>
      <c r="C11" s="21" t="s">
        <v>347</v>
      </c>
      <c r="D11" s="22">
        <v>5</v>
      </c>
      <c r="E11" s="15" t="s">
        <v>38</v>
      </c>
    </row>
    <row r="12" spans="1:5" x14ac:dyDescent="0.25">
      <c r="A12" s="6" t="s">
        <v>348</v>
      </c>
      <c r="B12" s="2"/>
      <c r="C12" s="2"/>
      <c r="D12" s="2"/>
      <c r="E12" s="2"/>
    </row>
    <row r="13" spans="1:5" ht="76" x14ac:dyDescent="0.25">
      <c r="A13" s="7" t="s">
        <v>349</v>
      </c>
      <c r="B13" s="8" t="s">
        <v>350</v>
      </c>
      <c r="C13" s="8" t="s">
        <v>351</v>
      </c>
      <c r="D13" s="9">
        <v>8</v>
      </c>
      <c r="E13" s="10" t="s">
        <v>11</v>
      </c>
    </row>
    <row r="14" spans="1:5" ht="76" x14ac:dyDescent="0.25">
      <c r="A14" s="20" t="s">
        <v>352</v>
      </c>
      <c r="B14" s="21" t="s">
        <v>353</v>
      </c>
      <c r="C14" s="21" t="s">
        <v>354</v>
      </c>
      <c r="D14" s="22">
        <v>8</v>
      </c>
      <c r="E14" s="10" t="s">
        <v>11</v>
      </c>
    </row>
    <row r="15" spans="1:5" ht="76" x14ac:dyDescent="0.25">
      <c r="A15" s="7" t="s">
        <v>355</v>
      </c>
      <c r="B15" s="8" t="s">
        <v>356</v>
      </c>
      <c r="C15" s="8" t="s">
        <v>357</v>
      </c>
      <c r="D15" s="9">
        <v>4</v>
      </c>
      <c r="E15" s="10" t="s">
        <v>11</v>
      </c>
    </row>
    <row r="16" spans="1:5" x14ac:dyDescent="0.25">
      <c r="A16" s="6" t="s">
        <v>358</v>
      </c>
      <c r="B16" s="2"/>
      <c r="C16" s="2"/>
      <c r="D16" s="2"/>
      <c r="E16" s="2"/>
    </row>
    <row r="17" spans="1:5" ht="76" x14ac:dyDescent="0.25">
      <c r="A17" s="20" t="s">
        <v>359</v>
      </c>
      <c r="B17" s="21" t="s">
        <v>360</v>
      </c>
      <c r="C17" s="21" t="s">
        <v>361</v>
      </c>
      <c r="D17" s="22">
        <v>10</v>
      </c>
      <c r="E17" s="10" t="s">
        <v>11</v>
      </c>
    </row>
    <row r="18" spans="1:5" ht="76" x14ac:dyDescent="0.25">
      <c r="A18" s="7" t="s">
        <v>362</v>
      </c>
      <c r="B18" s="8" t="s">
        <v>363</v>
      </c>
      <c r="C18" s="8" t="s">
        <v>364</v>
      </c>
      <c r="D18" s="9">
        <v>5</v>
      </c>
      <c r="E18" s="14" t="s">
        <v>22</v>
      </c>
    </row>
    <row r="19" spans="1:5" x14ac:dyDescent="0.25">
      <c r="A19" s="6" t="s">
        <v>365</v>
      </c>
      <c r="B19" s="2"/>
      <c r="C19" s="2"/>
      <c r="D19" s="2"/>
      <c r="E19" s="2"/>
    </row>
    <row r="20" spans="1:5" ht="76" x14ac:dyDescent="0.25">
      <c r="A20" s="20" t="s">
        <v>366</v>
      </c>
      <c r="B20" s="21" t="s">
        <v>367</v>
      </c>
      <c r="C20" s="21" t="s">
        <v>368</v>
      </c>
      <c r="D20" s="22">
        <v>6</v>
      </c>
      <c r="E20" s="10" t="s">
        <v>11</v>
      </c>
    </row>
    <row r="21" spans="1:5" ht="95" x14ac:dyDescent="0.25">
      <c r="A21" s="7" t="s">
        <v>369</v>
      </c>
      <c r="B21" s="8" t="s">
        <v>370</v>
      </c>
      <c r="C21" s="8" t="s">
        <v>371</v>
      </c>
      <c r="D21" s="9">
        <v>4</v>
      </c>
      <c r="E21" s="10" t="s">
        <v>11</v>
      </c>
    </row>
    <row r="23" spans="1:5" x14ac:dyDescent="0.25">
      <c r="A23" s="16" t="s">
        <v>53</v>
      </c>
      <c r="B23" s="2"/>
      <c r="C23" s="2"/>
      <c r="D23" s="5">
        <f>D5+D6+D7+D9+D10+D11+D13+D14+D15+D17+D18+D20+D21</f>
        <v>100</v>
      </c>
      <c r="E23" s="5"/>
    </row>
    <row r="25" spans="1:5" x14ac:dyDescent="0.25">
      <c r="A25" s="16" t="s">
        <v>106</v>
      </c>
      <c r="B25" s="2"/>
      <c r="C25" s="2"/>
      <c r="D25" s="2"/>
      <c r="E25" s="2"/>
    </row>
    <row r="26" spans="1:5" x14ac:dyDescent="0.25">
      <c r="A26" s="9" t="s">
        <v>107</v>
      </c>
      <c r="B26" s="23" t="s">
        <v>372</v>
      </c>
      <c r="C26" s="2"/>
      <c r="D26" s="2"/>
      <c r="E26" s="2"/>
    </row>
    <row r="27" spans="1:5" x14ac:dyDescent="0.25">
      <c r="A27" s="9" t="s">
        <v>109</v>
      </c>
      <c r="B27" s="23" t="s">
        <v>373</v>
      </c>
      <c r="C27" s="2"/>
      <c r="D27" s="2"/>
      <c r="E27" s="2"/>
    </row>
    <row r="28" spans="1:5" x14ac:dyDescent="0.25">
      <c r="A28" s="9" t="s">
        <v>111</v>
      </c>
      <c r="B28" s="23" t="s">
        <v>374</v>
      </c>
      <c r="C28" s="2"/>
      <c r="D28" s="2"/>
      <c r="E28" s="2"/>
    </row>
    <row r="30" spans="1:5" x14ac:dyDescent="0.25">
      <c r="A30" s="4" t="s">
        <v>375</v>
      </c>
      <c r="B30" s="2"/>
      <c r="C30" s="2"/>
      <c r="D30" s="2"/>
      <c r="E30" s="2"/>
    </row>
  </sheetData>
  <mergeCells count="13">
    <mergeCell ref="A1:E1"/>
    <mergeCell ref="A8:E8"/>
    <mergeCell ref="B28:E28"/>
    <mergeCell ref="A2:E2"/>
    <mergeCell ref="A16:E16"/>
    <mergeCell ref="A23:C23"/>
    <mergeCell ref="A25:E25"/>
    <mergeCell ref="A19:E19"/>
    <mergeCell ref="A30:E30"/>
    <mergeCell ref="B26:E26"/>
    <mergeCell ref="A12:E12"/>
    <mergeCell ref="A4:E4"/>
    <mergeCell ref="B27:E2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/>
  </sheetPr>
  <dimension ref="A1:E24"/>
  <sheetViews>
    <sheetView workbookViewId="0">
      <pane ySplit="3" topLeftCell="A4" activePane="bottomLeft" state="frozen"/>
      <selection pane="bottomLeft" activeCell="K13" sqref="K13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376</v>
      </c>
      <c r="B1" s="2"/>
      <c r="C1" s="2"/>
      <c r="D1" s="2"/>
      <c r="E1" s="2"/>
    </row>
    <row r="2" spans="1:5" x14ac:dyDescent="0.25">
      <c r="A2" s="4" t="s">
        <v>204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377</v>
      </c>
      <c r="B4" s="2"/>
      <c r="C4" s="2"/>
      <c r="D4" s="2"/>
      <c r="E4" s="2"/>
    </row>
    <row r="5" spans="1:5" ht="76" x14ac:dyDescent="0.25">
      <c r="A5" s="7" t="s">
        <v>311</v>
      </c>
      <c r="B5" s="8" t="s">
        <v>378</v>
      </c>
      <c r="C5" s="8" t="s">
        <v>379</v>
      </c>
      <c r="D5" s="9">
        <v>20</v>
      </c>
      <c r="E5" s="15" t="s">
        <v>38</v>
      </c>
    </row>
    <row r="6" spans="1:5" ht="76" x14ac:dyDescent="0.25">
      <c r="A6" s="11" t="s">
        <v>311</v>
      </c>
      <c r="B6" s="12" t="s">
        <v>380</v>
      </c>
      <c r="C6" s="12" t="s">
        <v>381</v>
      </c>
      <c r="D6" s="13">
        <v>8</v>
      </c>
      <c r="E6" s="10" t="s">
        <v>11</v>
      </c>
    </row>
    <row r="7" spans="1:5" ht="57" x14ac:dyDescent="0.25">
      <c r="A7" s="7" t="s">
        <v>311</v>
      </c>
      <c r="B7" s="8" t="s">
        <v>382</v>
      </c>
      <c r="C7" s="8" t="s">
        <v>383</v>
      </c>
      <c r="D7" s="9">
        <v>7</v>
      </c>
      <c r="E7" s="10" t="s">
        <v>11</v>
      </c>
    </row>
    <row r="8" spans="1:5" x14ac:dyDescent="0.25">
      <c r="A8" s="6" t="s">
        <v>384</v>
      </c>
      <c r="B8" s="2"/>
      <c r="C8" s="2"/>
      <c r="D8" s="2"/>
      <c r="E8" s="2"/>
    </row>
    <row r="9" spans="1:5" ht="57" x14ac:dyDescent="0.25">
      <c r="A9" s="11" t="s">
        <v>8</v>
      </c>
      <c r="B9" s="12" t="s">
        <v>385</v>
      </c>
      <c r="C9" s="12" t="s">
        <v>386</v>
      </c>
      <c r="D9" s="13">
        <v>8</v>
      </c>
      <c r="E9" s="10" t="s">
        <v>11</v>
      </c>
    </row>
    <row r="10" spans="1:5" ht="57" x14ac:dyDescent="0.25">
      <c r="A10" s="7" t="s">
        <v>8</v>
      </c>
      <c r="B10" s="8" t="s">
        <v>387</v>
      </c>
      <c r="C10" s="8" t="s">
        <v>388</v>
      </c>
      <c r="D10" s="9">
        <v>10</v>
      </c>
      <c r="E10" s="10" t="s">
        <v>11</v>
      </c>
    </row>
    <row r="11" spans="1:5" ht="57" x14ac:dyDescent="0.25">
      <c r="A11" s="11" t="s">
        <v>8</v>
      </c>
      <c r="B11" s="12" t="s">
        <v>389</v>
      </c>
      <c r="C11" s="12" t="s">
        <v>390</v>
      </c>
      <c r="D11" s="13">
        <v>7</v>
      </c>
      <c r="E11" s="10" t="s">
        <v>11</v>
      </c>
    </row>
    <row r="12" spans="1:5" ht="76" x14ac:dyDescent="0.25">
      <c r="A12" s="7" t="s">
        <v>8</v>
      </c>
      <c r="B12" s="8" t="s">
        <v>391</v>
      </c>
      <c r="C12" s="8" t="s">
        <v>392</v>
      </c>
      <c r="D12" s="9">
        <v>5</v>
      </c>
      <c r="E12" s="10" t="s">
        <v>11</v>
      </c>
    </row>
    <row r="13" spans="1:5" x14ac:dyDescent="0.25">
      <c r="A13" s="6" t="s">
        <v>393</v>
      </c>
      <c r="B13" s="2"/>
      <c r="C13" s="2"/>
      <c r="D13" s="2"/>
      <c r="E13" s="2"/>
    </row>
    <row r="14" spans="1:5" ht="76" x14ac:dyDescent="0.25">
      <c r="A14" s="11" t="s">
        <v>394</v>
      </c>
      <c r="B14" s="12" t="s">
        <v>395</v>
      </c>
      <c r="C14" s="12" t="s">
        <v>396</v>
      </c>
      <c r="D14" s="13">
        <v>10</v>
      </c>
      <c r="E14" s="14" t="s">
        <v>22</v>
      </c>
    </row>
    <row r="15" spans="1:5" x14ac:dyDescent="0.25">
      <c r="A15" s="6" t="s">
        <v>397</v>
      </c>
      <c r="B15" s="2"/>
      <c r="C15" s="2"/>
      <c r="D15" s="2"/>
      <c r="E15" s="2"/>
    </row>
    <row r="16" spans="1:5" ht="57" x14ac:dyDescent="0.25">
      <c r="A16" s="7" t="s">
        <v>158</v>
      </c>
      <c r="B16" s="8" t="s">
        <v>398</v>
      </c>
      <c r="C16" s="8" t="s">
        <v>399</v>
      </c>
      <c r="D16" s="9">
        <v>2</v>
      </c>
      <c r="E16" s="10" t="s">
        <v>11</v>
      </c>
    </row>
    <row r="17" spans="1:5" ht="38" x14ac:dyDescent="0.25">
      <c r="A17" s="11" t="s">
        <v>158</v>
      </c>
      <c r="B17" s="12" t="s">
        <v>400</v>
      </c>
      <c r="C17" s="12" t="s">
        <v>401</v>
      </c>
      <c r="D17" s="13">
        <v>2</v>
      </c>
      <c r="E17" s="10" t="s">
        <v>11</v>
      </c>
    </row>
    <row r="19" spans="1:5" x14ac:dyDescent="0.25">
      <c r="A19" s="16" t="s">
        <v>53</v>
      </c>
      <c r="B19" s="2"/>
      <c r="C19" s="2"/>
      <c r="D19" s="5">
        <f>D5+D6+D7+D9+D10+D11+D12+D14+D16+D17</f>
        <v>79</v>
      </c>
      <c r="E19" s="5"/>
    </row>
    <row r="21" spans="1:5" x14ac:dyDescent="0.25">
      <c r="A21" s="16" t="s">
        <v>54</v>
      </c>
      <c r="B21" s="2"/>
      <c r="C21" s="2"/>
      <c r="D21" s="2"/>
      <c r="E21" s="2"/>
    </row>
    <row r="22" spans="1:5" x14ac:dyDescent="0.25">
      <c r="A22" s="14" t="s">
        <v>320</v>
      </c>
      <c r="B22" s="17" t="s">
        <v>402</v>
      </c>
      <c r="C22" s="2"/>
      <c r="D22" s="2"/>
      <c r="E22" s="2"/>
    </row>
    <row r="23" spans="1:5" x14ac:dyDescent="0.25">
      <c r="A23" s="15" t="s">
        <v>322</v>
      </c>
      <c r="B23" s="18" t="s">
        <v>403</v>
      </c>
      <c r="C23" s="2"/>
      <c r="D23" s="2"/>
      <c r="E23" s="2"/>
    </row>
    <row r="24" spans="1:5" x14ac:dyDescent="0.25">
      <c r="A24" s="10" t="s">
        <v>324</v>
      </c>
      <c r="B24" s="19" t="s">
        <v>404</v>
      </c>
      <c r="C24" s="2"/>
      <c r="D24" s="2"/>
      <c r="E24" s="2"/>
    </row>
  </sheetData>
  <mergeCells count="11">
    <mergeCell ref="A1:E1"/>
    <mergeCell ref="B24:E24"/>
    <mergeCell ref="A13:E13"/>
    <mergeCell ref="A8:E8"/>
    <mergeCell ref="B22:E22"/>
    <mergeCell ref="A21:E21"/>
    <mergeCell ref="B23:E23"/>
    <mergeCell ref="A4:E4"/>
    <mergeCell ref="A19:C19"/>
    <mergeCell ref="A2:E2"/>
    <mergeCell ref="A15:E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7"/>
  <sheetViews>
    <sheetView workbookViewId="0">
      <pane ySplit="3" topLeftCell="A7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405</v>
      </c>
      <c r="B1" s="2"/>
      <c r="C1" s="2"/>
      <c r="D1" s="2"/>
      <c r="E1" s="2"/>
    </row>
    <row r="2" spans="1:5" x14ac:dyDescent="0.25">
      <c r="A2" s="4" t="s">
        <v>406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407</v>
      </c>
      <c r="B4" s="2"/>
      <c r="C4" s="2"/>
      <c r="D4" s="2"/>
      <c r="E4" s="2"/>
    </row>
    <row r="5" spans="1:5" ht="76" x14ac:dyDescent="0.25">
      <c r="A5" s="7" t="s">
        <v>408</v>
      </c>
      <c r="B5" s="8" t="s">
        <v>409</v>
      </c>
      <c r="C5" s="8" t="s">
        <v>410</v>
      </c>
      <c r="D5" s="9">
        <v>10</v>
      </c>
      <c r="E5" s="15" t="s">
        <v>38</v>
      </c>
    </row>
    <row r="6" spans="1:5" ht="95" x14ac:dyDescent="0.25">
      <c r="A6" s="20" t="s">
        <v>411</v>
      </c>
      <c r="B6" s="21" t="s">
        <v>412</v>
      </c>
      <c r="C6" s="21" t="s">
        <v>413</v>
      </c>
      <c r="D6" s="22">
        <v>10</v>
      </c>
      <c r="E6" s="10" t="s">
        <v>11</v>
      </c>
    </row>
    <row r="7" spans="1:5" ht="76" x14ac:dyDescent="0.25">
      <c r="A7" s="7" t="s">
        <v>414</v>
      </c>
      <c r="B7" s="8" t="s">
        <v>415</v>
      </c>
      <c r="C7" s="8" t="s">
        <v>416</v>
      </c>
      <c r="D7" s="9">
        <v>5</v>
      </c>
      <c r="E7" s="10" t="s">
        <v>11</v>
      </c>
    </row>
    <row r="8" spans="1:5" x14ac:dyDescent="0.25">
      <c r="A8" s="6" t="s">
        <v>417</v>
      </c>
      <c r="B8" s="2"/>
      <c r="C8" s="2"/>
      <c r="D8" s="2"/>
      <c r="E8" s="2"/>
    </row>
    <row r="9" spans="1:5" ht="76" x14ac:dyDescent="0.25">
      <c r="A9" s="20" t="s">
        <v>249</v>
      </c>
      <c r="B9" s="21" t="s">
        <v>418</v>
      </c>
      <c r="C9" s="21" t="s">
        <v>419</v>
      </c>
      <c r="D9" s="22">
        <v>15</v>
      </c>
      <c r="E9" s="10" t="s">
        <v>11</v>
      </c>
    </row>
    <row r="10" spans="1:5" ht="76" x14ac:dyDescent="0.25">
      <c r="A10" s="7" t="s">
        <v>180</v>
      </c>
      <c r="B10" s="8" t="s">
        <v>420</v>
      </c>
      <c r="C10" s="8" t="s">
        <v>421</v>
      </c>
      <c r="D10" s="9">
        <v>10</v>
      </c>
      <c r="E10" s="10" t="s">
        <v>11</v>
      </c>
    </row>
    <row r="11" spans="1:5" x14ac:dyDescent="0.25">
      <c r="A11" s="6" t="s">
        <v>422</v>
      </c>
      <c r="B11" s="2"/>
      <c r="C11" s="2"/>
      <c r="D11" s="2"/>
      <c r="E11" s="2"/>
    </row>
    <row r="12" spans="1:5" ht="95" x14ac:dyDescent="0.25">
      <c r="A12" s="20" t="s">
        <v>73</v>
      </c>
      <c r="B12" s="21" t="s">
        <v>423</v>
      </c>
      <c r="C12" s="21" t="s">
        <v>424</v>
      </c>
      <c r="D12" s="22">
        <v>15</v>
      </c>
      <c r="E12" s="10" t="s">
        <v>11</v>
      </c>
    </row>
    <row r="13" spans="1:5" ht="95" x14ac:dyDescent="0.25">
      <c r="A13" s="7" t="s">
        <v>76</v>
      </c>
      <c r="B13" s="8" t="s">
        <v>425</v>
      </c>
      <c r="C13" s="8" t="s">
        <v>426</v>
      </c>
      <c r="D13" s="9">
        <v>10</v>
      </c>
      <c r="E13" s="10" t="s">
        <v>11</v>
      </c>
    </row>
    <row r="14" spans="1:5" x14ac:dyDescent="0.25">
      <c r="A14" s="6" t="s">
        <v>427</v>
      </c>
      <c r="B14" s="2"/>
      <c r="C14" s="2"/>
      <c r="D14" s="2"/>
      <c r="E14" s="2"/>
    </row>
    <row r="15" spans="1:5" ht="76" x14ac:dyDescent="0.25">
      <c r="A15" s="20" t="s">
        <v>428</v>
      </c>
      <c r="B15" s="21" t="s">
        <v>429</v>
      </c>
      <c r="C15" s="21" t="s">
        <v>430</v>
      </c>
      <c r="D15" s="22">
        <v>10</v>
      </c>
      <c r="E15" s="14" t="s">
        <v>22</v>
      </c>
    </row>
    <row r="16" spans="1:5" ht="76" x14ac:dyDescent="0.25">
      <c r="A16" s="7" t="s">
        <v>431</v>
      </c>
      <c r="B16" s="8" t="s">
        <v>432</v>
      </c>
      <c r="C16" s="8" t="s">
        <v>433</v>
      </c>
      <c r="D16" s="9">
        <v>5</v>
      </c>
      <c r="E16" s="14" t="s">
        <v>22</v>
      </c>
    </row>
    <row r="17" spans="1:5" x14ac:dyDescent="0.25">
      <c r="A17" s="6" t="s">
        <v>434</v>
      </c>
      <c r="B17" s="2"/>
      <c r="C17" s="2"/>
      <c r="D17" s="2"/>
      <c r="E17" s="2"/>
    </row>
    <row r="18" spans="1:5" ht="114" x14ac:dyDescent="0.25">
      <c r="A18" s="20" t="s">
        <v>435</v>
      </c>
      <c r="B18" s="21" t="s">
        <v>436</v>
      </c>
      <c r="C18" s="21" t="s">
        <v>437</v>
      </c>
      <c r="D18" s="22">
        <v>10</v>
      </c>
      <c r="E18" s="10" t="s">
        <v>11</v>
      </c>
    </row>
    <row r="20" spans="1:5" x14ac:dyDescent="0.25">
      <c r="A20" s="16" t="s">
        <v>53</v>
      </c>
      <c r="B20" s="2"/>
      <c r="C20" s="2"/>
      <c r="D20" s="5">
        <f>D5+D6+D7+D9+D10+D12+D13+D15+D16+D18</f>
        <v>100</v>
      </c>
      <c r="E20" s="5"/>
    </row>
    <row r="22" spans="1:5" x14ac:dyDescent="0.25">
      <c r="A22" s="16" t="s">
        <v>106</v>
      </c>
      <c r="B22" s="2"/>
      <c r="C22" s="2"/>
      <c r="D22" s="2"/>
      <c r="E22" s="2"/>
    </row>
    <row r="23" spans="1:5" x14ac:dyDescent="0.25">
      <c r="A23" s="9" t="s">
        <v>107</v>
      </c>
      <c r="B23" s="23" t="s">
        <v>438</v>
      </c>
      <c r="C23" s="2"/>
      <c r="D23" s="2"/>
      <c r="E23" s="2"/>
    </row>
    <row r="24" spans="1:5" x14ac:dyDescent="0.25">
      <c r="A24" s="9" t="s">
        <v>109</v>
      </c>
      <c r="B24" s="23" t="s">
        <v>439</v>
      </c>
      <c r="C24" s="2"/>
      <c r="D24" s="2"/>
      <c r="E24" s="2"/>
    </row>
    <row r="25" spans="1:5" x14ac:dyDescent="0.25">
      <c r="A25" s="9" t="s">
        <v>111</v>
      </c>
      <c r="B25" s="23" t="s">
        <v>440</v>
      </c>
      <c r="C25" s="2"/>
      <c r="D25" s="2"/>
      <c r="E25" s="2"/>
    </row>
    <row r="27" spans="1:5" x14ac:dyDescent="0.25">
      <c r="A27" s="4" t="s">
        <v>441</v>
      </c>
      <c r="B27" s="2"/>
      <c r="C27" s="2"/>
      <c r="D27" s="2"/>
      <c r="E27" s="2"/>
    </row>
  </sheetData>
  <mergeCells count="13">
    <mergeCell ref="A27:E27"/>
    <mergeCell ref="A1:E1"/>
    <mergeCell ref="B25:E25"/>
    <mergeCell ref="B24:E24"/>
    <mergeCell ref="A8:E8"/>
    <mergeCell ref="A22:E22"/>
    <mergeCell ref="A17:E17"/>
    <mergeCell ref="A20:C20"/>
    <mergeCell ref="B23:E23"/>
    <mergeCell ref="A4:E4"/>
    <mergeCell ref="A2:E2"/>
    <mergeCell ref="A14:E14"/>
    <mergeCell ref="A11:E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/>
  </sheetPr>
  <dimension ref="A1:E26"/>
  <sheetViews>
    <sheetView tabSelected="1" workbookViewId="0">
      <pane ySplit="3" topLeftCell="A14" activePane="bottomLeft" state="frozen"/>
      <selection pane="bottomLeft" sqref="A1:XFD1048576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442</v>
      </c>
      <c r="B1" s="2"/>
      <c r="C1" s="2"/>
      <c r="D1" s="2"/>
      <c r="E1" s="2"/>
    </row>
    <row r="2" spans="1:5" x14ac:dyDescent="0.25">
      <c r="A2" s="4" t="s">
        <v>443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444</v>
      </c>
      <c r="B4" s="2"/>
      <c r="C4" s="2"/>
      <c r="D4" s="2"/>
      <c r="E4" s="2"/>
    </row>
    <row r="5" spans="1:5" ht="76" x14ac:dyDescent="0.25">
      <c r="A5" s="7" t="s">
        <v>8</v>
      </c>
      <c r="B5" s="8" t="s">
        <v>445</v>
      </c>
      <c r="C5" s="8" t="s">
        <v>446</v>
      </c>
      <c r="D5" s="9">
        <v>8</v>
      </c>
      <c r="E5" s="10" t="s">
        <v>11</v>
      </c>
    </row>
    <row r="6" spans="1:5" ht="57" x14ac:dyDescent="0.25">
      <c r="A6" s="11" t="s">
        <v>8</v>
      </c>
      <c r="B6" s="12" t="s">
        <v>447</v>
      </c>
      <c r="C6" s="12" t="s">
        <v>448</v>
      </c>
      <c r="D6" s="13">
        <v>8</v>
      </c>
      <c r="E6" s="10" t="s">
        <v>11</v>
      </c>
    </row>
    <row r="7" spans="1:5" ht="57" x14ac:dyDescent="0.25">
      <c r="A7" s="7" t="s">
        <v>8</v>
      </c>
      <c r="B7" s="8" t="s">
        <v>449</v>
      </c>
      <c r="C7" s="8" t="s">
        <v>450</v>
      </c>
      <c r="D7" s="9">
        <v>6</v>
      </c>
      <c r="E7" s="10" t="s">
        <v>11</v>
      </c>
    </row>
    <row r="8" spans="1:5" x14ac:dyDescent="0.25">
      <c r="A8" s="6" t="s">
        <v>451</v>
      </c>
      <c r="B8" s="2"/>
      <c r="C8" s="2"/>
      <c r="D8" s="2"/>
      <c r="E8" s="2"/>
    </row>
    <row r="9" spans="1:5" ht="76" x14ac:dyDescent="0.25">
      <c r="A9" s="11" t="s">
        <v>307</v>
      </c>
      <c r="B9" s="12" t="s">
        <v>452</v>
      </c>
      <c r="C9" s="12" t="s">
        <v>453</v>
      </c>
      <c r="D9" s="13">
        <v>10</v>
      </c>
      <c r="E9" s="10" t="s">
        <v>11</v>
      </c>
    </row>
    <row r="10" spans="1:5" ht="57" x14ac:dyDescent="0.25">
      <c r="A10" s="7" t="s">
        <v>307</v>
      </c>
      <c r="B10" s="8" t="s">
        <v>454</v>
      </c>
      <c r="C10" s="8" t="s">
        <v>455</v>
      </c>
      <c r="D10" s="9">
        <v>5</v>
      </c>
      <c r="E10" s="10" t="s">
        <v>11</v>
      </c>
    </row>
    <row r="11" spans="1:5" ht="57" x14ac:dyDescent="0.25">
      <c r="A11" s="11" t="s">
        <v>307</v>
      </c>
      <c r="B11" s="12" t="s">
        <v>456</v>
      </c>
      <c r="C11" s="12" t="s">
        <v>457</v>
      </c>
      <c r="D11" s="13">
        <v>3</v>
      </c>
      <c r="E11" s="15" t="s">
        <v>38</v>
      </c>
    </row>
    <row r="12" spans="1:5" ht="57" x14ac:dyDescent="0.25">
      <c r="A12" s="7" t="s">
        <v>307</v>
      </c>
      <c r="B12" s="8" t="s">
        <v>458</v>
      </c>
      <c r="C12" s="8" t="s">
        <v>459</v>
      </c>
      <c r="D12" s="9">
        <v>4</v>
      </c>
      <c r="E12" s="15" t="s">
        <v>38</v>
      </c>
    </row>
    <row r="13" spans="1:5" x14ac:dyDescent="0.25">
      <c r="A13" s="6" t="s">
        <v>460</v>
      </c>
      <c r="B13" s="2"/>
      <c r="C13" s="2"/>
      <c r="D13" s="2"/>
      <c r="E13" s="2"/>
    </row>
    <row r="14" spans="1:5" ht="57" x14ac:dyDescent="0.25">
      <c r="A14" s="11" t="s">
        <v>461</v>
      </c>
      <c r="B14" s="12" t="s">
        <v>462</v>
      </c>
      <c r="C14" s="12" t="s">
        <v>463</v>
      </c>
      <c r="D14" s="13">
        <v>3</v>
      </c>
      <c r="E14" s="10" t="s">
        <v>11</v>
      </c>
    </row>
    <row r="15" spans="1:5" ht="57" x14ac:dyDescent="0.25">
      <c r="A15" s="7" t="s">
        <v>461</v>
      </c>
      <c r="B15" s="8" t="s">
        <v>464</v>
      </c>
      <c r="C15" s="8" t="s">
        <v>465</v>
      </c>
      <c r="D15" s="9">
        <v>2</v>
      </c>
      <c r="E15" s="10" t="s">
        <v>11</v>
      </c>
    </row>
    <row r="16" spans="1:5" ht="76" x14ac:dyDescent="0.25">
      <c r="A16" s="11" t="s">
        <v>461</v>
      </c>
      <c r="B16" s="12" t="s">
        <v>466</v>
      </c>
      <c r="C16" s="12" t="s">
        <v>467</v>
      </c>
      <c r="D16" s="13">
        <v>2</v>
      </c>
      <c r="E16" s="10" t="s">
        <v>11</v>
      </c>
    </row>
    <row r="17" spans="1:5" x14ac:dyDescent="0.25">
      <c r="A17" s="6" t="s">
        <v>468</v>
      </c>
      <c r="B17" s="2"/>
      <c r="C17" s="2"/>
      <c r="D17" s="2"/>
      <c r="E17" s="2"/>
    </row>
    <row r="18" spans="1:5" ht="76" x14ac:dyDescent="0.25">
      <c r="A18" s="7" t="s">
        <v>238</v>
      </c>
      <c r="B18" s="8" t="s">
        <v>469</v>
      </c>
      <c r="C18" s="8" t="s">
        <v>470</v>
      </c>
      <c r="D18" s="9">
        <v>8</v>
      </c>
      <c r="E18" s="14" t="s">
        <v>22</v>
      </c>
    </row>
    <row r="19" spans="1:5" ht="76" x14ac:dyDescent="0.25">
      <c r="A19" s="11" t="s">
        <v>238</v>
      </c>
      <c r="B19" s="12" t="s">
        <v>471</v>
      </c>
      <c r="C19" s="12" t="s">
        <v>472</v>
      </c>
      <c r="D19" s="13">
        <v>4</v>
      </c>
      <c r="E19" s="14" t="s">
        <v>22</v>
      </c>
    </row>
    <row r="21" spans="1:5" x14ac:dyDescent="0.25">
      <c r="A21" s="16" t="s">
        <v>53</v>
      </c>
      <c r="B21" s="2"/>
      <c r="C21" s="2"/>
      <c r="D21" s="5">
        <f>D5+D6+D7+D9+D10+D11+D12+D14+D15+D16+D18+D19</f>
        <v>63</v>
      </c>
      <c r="E21" s="5"/>
    </row>
    <row r="23" spans="1:5" x14ac:dyDescent="0.25">
      <c r="A23" s="16" t="s">
        <v>54</v>
      </c>
      <c r="B23" s="2"/>
      <c r="C23" s="2"/>
      <c r="D23" s="2"/>
      <c r="E23" s="2"/>
    </row>
    <row r="24" spans="1:5" x14ac:dyDescent="0.25">
      <c r="A24" s="14" t="s">
        <v>320</v>
      </c>
      <c r="B24" s="17" t="s">
        <v>473</v>
      </c>
      <c r="C24" s="2"/>
      <c r="D24" s="2"/>
      <c r="E24" s="2"/>
    </row>
    <row r="25" spans="1:5" x14ac:dyDescent="0.25">
      <c r="A25" s="15" t="s">
        <v>322</v>
      </c>
      <c r="B25" s="18" t="s">
        <v>474</v>
      </c>
      <c r="C25" s="2"/>
      <c r="D25" s="2"/>
      <c r="E25" s="2"/>
    </row>
    <row r="26" spans="1:5" x14ac:dyDescent="0.25">
      <c r="A26" s="10" t="s">
        <v>324</v>
      </c>
      <c r="B26" s="19" t="s">
        <v>475</v>
      </c>
      <c r="C26" s="2"/>
      <c r="D26" s="2"/>
      <c r="E26" s="2"/>
    </row>
  </sheetData>
  <mergeCells count="11">
    <mergeCell ref="B26:E26"/>
    <mergeCell ref="A4:E4"/>
    <mergeCell ref="A2:E2"/>
    <mergeCell ref="A1:E1"/>
    <mergeCell ref="A23:E23"/>
    <mergeCell ref="A21:C21"/>
    <mergeCell ref="A13:E13"/>
    <mergeCell ref="A8:E8"/>
    <mergeCell ref="B24:E24"/>
    <mergeCell ref="B25:E25"/>
    <mergeCell ref="A17:E1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workbookViewId="0">
      <pane ySplit="3" topLeftCell="A4" activePane="bottomLeft" state="frozen"/>
      <selection pane="bottomLeft" activeCell="L12" sqref="L12"/>
    </sheetView>
  </sheetViews>
  <sheetFormatPr baseColWidth="10" defaultColWidth="8.83203125" defaultRowHeight="19" x14ac:dyDescent="0.25"/>
  <cols>
    <col min="1" max="1" width="26" style="3" customWidth="1"/>
    <col min="2" max="2" width="52" style="3" customWidth="1"/>
    <col min="3" max="3" width="36" style="3" customWidth="1"/>
    <col min="4" max="4" width="9" style="3" customWidth="1"/>
    <col min="5" max="5" width="11" style="3" customWidth="1"/>
    <col min="6" max="16384" width="8.83203125" style="3"/>
  </cols>
  <sheetData>
    <row r="1" spans="1:5" x14ac:dyDescent="0.25">
      <c r="A1" s="1" t="s">
        <v>476</v>
      </c>
      <c r="B1" s="2"/>
      <c r="C1" s="2"/>
      <c r="D1" s="2"/>
      <c r="E1" s="2"/>
    </row>
    <row r="2" spans="1:5" x14ac:dyDescent="0.25">
      <c r="A2" s="4" t="s">
        <v>477</v>
      </c>
      <c r="B2" s="2"/>
      <c r="C2" s="2"/>
      <c r="D2" s="2"/>
      <c r="E2" s="2"/>
    </row>
    <row r="3" spans="1:5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5" x14ac:dyDescent="0.25">
      <c r="A4" s="6" t="s">
        <v>478</v>
      </c>
      <c r="B4" s="2"/>
      <c r="C4" s="2"/>
      <c r="D4" s="2"/>
      <c r="E4" s="2"/>
    </row>
    <row r="5" spans="1:5" ht="95" x14ac:dyDescent="0.25">
      <c r="A5" s="7" t="s">
        <v>479</v>
      </c>
      <c r="B5" s="8" t="s">
        <v>480</v>
      </c>
      <c r="C5" s="8" t="s">
        <v>481</v>
      </c>
      <c r="D5" s="9">
        <v>12</v>
      </c>
      <c r="E5" s="10" t="s">
        <v>11</v>
      </c>
    </row>
    <row r="6" spans="1:5" ht="76" x14ac:dyDescent="0.25">
      <c r="A6" s="20" t="s">
        <v>482</v>
      </c>
      <c r="B6" s="21" t="s">
        <v>483</v>
      </c>
      <c r="C6" s="21" t="s">
        <v>484</v>
      </c>
      <c r="D6" s="22">
        <v>8</v>
      </c>
      <c r="E6" s="15" t="s">
        <v>38</v>
      </c>
    </row>
    <row r="7" spans="1:5" ht="76" x14ac:dyDescent="0.25">
      <c r="A7" s="7" t="s">
        <v>485</v>
      </c>
      <c r="B7" s="8" t="s">
        <v>486</v>
      </c>
      <c r="C7" s="8" t="s">
        <v>487</v>
      </c>
      <c r="D7" s="9">
        <v>5</v>
      </c>
      <c r="E7" s="15" t="s">
        <v>38</v>
      </c>
    </row>
    <row r="8" spans="1:5" x14ac:dyDescent="0.25">
      <c r="A8" s="6" t="s">
        <v>72</v>
      </c>
      <c r="B8" s="2"/>
      <c r="C8" s="2"/>
      <c r="D8" s="2"/>
      <c r="E8" s="2"/>
    </row>
    <row r="9" spans="1:5" ht="76" x14ac:dyDescent="0.25">
      <c r="A9" s="20" t="s">
        <v>73</v>
      </c>
      <c r="B9" s="21" t="s">
        <v>488</v>
      </c>
      <c r="C9" s="21" t="s">
        <v>489</v>
      </c>
      <c r="D9" s="22">
        <v>12</v>
      </c>
      <c r="E9" s="10" t="s">
        <v>11</v>
      </c>
    </row>
    <row r="10" spans="1:5" ht="57" x14ac:dyDescent="0.25">
      <c r="A10" s="7" t="s">
        <v>76</v>
      </c>
      <c r="B10" s="8" t="s">
        <v>490</v>
      </c>
      <c r="C10" s="8" t="s">
        <v>491</v>
      </c>
      <c r="D10" s="9">
        <v>8</v>
      </c>
      <c r="E10" s="10" t="s">
        <v>11</v>
      </c>
    </row>
    <row r="11" spans="1:5" x14ac:dyDescent="0.25">
      <c r="A11" s="6" t="s">
        <v>79</v>
      </c>
      <c r="B11" s="2"/>
      <c r="C11" s="2"/>
      <c r="D11" s="2"/>
      <c r="E11" s="2"/>
    </row>
    <row r="12" spans="1:5" ht="95" x14ac:dyDescent="0.25">
      <c r="A12" s="20" t="s">
        <v>492</v>
      </c>
      <c r="B12" s="21" t="s">
        <v>493</v>
      </c>
      <c r="C12" s="21" t="s">
        <v>494</v>
      </c>
      <c r="D12" s="22">
        <v>10</v>
      </c>
      <c r="E12" s="14" t="s">
        <v>22</v>
      </c>
    </row>
    <row r="13" spans="1:5" ht="95" x14ac:dyDescent="0.25">
      <c r="A13" s="7" t="s">
        <v>495</v>
      </c>
      <c r="B13" s="8" t="s">
        <v>496</v>
      </c>
      <c r="C13" s="8" t="s">
        <v>497</v>
      </c>
      <c r="D13" s="9">
        <v>6</v>
      </c>
      <c r="E13" s="14" t="s">
        <v>22</v>
      </c>
    </row>
    <row r="14" spans="1:5" ht="76" x14ac:dyDescent="0.25">
      <c r="A14" s="20" t="s">
        <v>188</v>
      </c>
      <c r="B14" s="21" t="s">
        <v>498</v>
      </c>
      <c r="C14" s="21" t="s">
        <v>499</v>
      </c>
      <c r="D14" s="22">
        <v>4</v>
      </c>
      <c r="E14" s="14" t="s">
        <v>22</v>
      </c>
    </row>
    <row r="15" spans="1:5" x14ac:dyDescent="0.25">
      <c r="A15" s="6" t="s">
        <v>500</v>
      </c>
      <c r="B15" s="2"/>
      <c r="C15" s="2"/>
      <c r="D15" s="2"/>
      <c r="E15" s="2"/>
    </row>
    <row r="16" spans="1:5" ht="95" x14ac:dyDescent="0.25">
      <c r="A16" s="7" t="s">
        <v>249</v>
      </c>
      <c r="B16" s="8" t="s">
        <v>501</v>
      </c>
      <c r="C16" s="8" t="s">
        <v>502</v>
      </c>
      <c r="D16" s="9">
        <v>10</v>
      </c>
      <c r="E16" s="10" t="s">
        <v>11</v>
      </c>
    </row>
    <row r="17" spans="1:5" ht="95" x14ac:dyDescent="0.25">
      <c r="A17" s="20" t="s">
        <v>503</v>
      </c>
      <c r="B17" s="21" t="s">
        <v>504</v>
      </c>
      <c r="C17" s="21" t="s">
        <v>505</v>
      </c>
      <c r="D17" s="22">
        <v>5</v>
      </c>
      <c r="E17" s="10" t="s">
        <v>11</v>
      </c>
    </row>
    <row r="18" spans="1:5" x14ac:dyDescent="0.25">
      <c r="A18" s="6" t="s">
        <v>506</v>
      </c>
      <c r="B18" s="2"/>
      <c r="C18" s="2"/>
      <c r="D18" s="2"/>
      <c r="E18" s="2"/>
    </row>
    <row r="19" spans="1:5" ht="95" x14ac:dyDescent="0.25">
      <c r="A19" s="7" t="s">
        <v>507</v>
      </c>
      <c r="B19" s="8" t="s">
        <v>508</v>
      </c>
      <c r="C19" s="8" t="s">
        <v>509</v>
      </c>
      <c r="D19" s="9">
        <v>6</v>
      </c>
      <c r="E19" s="15" t="s">
        <v>38</v>
      </c>
    </row>
    <row r="20" spans="1:5" ht="95" x14ac:dyDescent="0.25">
      <c r="A20" s="20" t="s">
        <v>510</v>
      </c>
      <c r="B20" s="21" t="s">
        <v>511</v>
      </c>
      <c r="C20" s="21" t="s">
        <v>512</v>
      </c>
      <c r="D20" s="22">
        <v>4</v>
      </c>
      <c r="E20" s="15" t="s">
        <v>38</v>
      </c>
    </row>
    <row r="21" spans="1:5" x14ac:dyDescent="0.25">
      <c r="A21" s="6" t="s">
        <v>513</v>
      </c>
      <c r="B21" s="2"/>
      <c r="C21" s="2"/>
      <c r="D21" s="2"/>
      <c r="E21" s="2"/>
    </row>
    <row r="22" spans="1:5" ht="114" x14ac:dyDescent="0.25">
      <c r="A22" s="7" t="s">
        <v>514</v>
      </c>
      <c r="B22" s="8" t="s">
        <v>515</v>
      </c>
      <c r="C22" s="8" t="s">
        <v>516</v>
      </c>
      <c r="D22" s="9">
        <v>6</v>
      </c>
      <c r="E22" s="10" t="s">
        <v>11</v>
      </c>
    </row>
    <row r="23" spans="1:5" ht="95" x14ac:dyDescent="0.25">
      <c r="A23" s="20" t="s">
        <v>517</v>
      </c>
      <c r="B23" s="21" t="s">
        <v>518</v>
      </c>
      <c r="C23" s="21" t="s">
        <v>519</v>
      </c>
      <c r="D23" s="22">
        <v>4</v>
      </c>
      <c r="E23" s="10" t="s">
        <v>11</v>
      </c>
    </row>
    <row r="25" spans="1:5" x14ac:dyDescent="0.25">
      <c r="A25" s="16" t="s">
        <v>53</v>
      </c>
      <c r="B25" s="2"/>
      <c r="C25" s="2"/>
      <c r="D25" s="5">
        <f>D5+D6+D7+D9+D10+D12+D13+D14+D16+D17+D19+D20+D22+D23</f>
        <v>100</v>
      </c>
      <c r="E25" s="5"/>
    </row>
    <row r="27" spans="1:5" x14ac:dyDescent="0.25">
      <c r="A27" s="16" t="s">
        <v>106</v>
      </c>
      <c r="B27" s="2"/>
      <c r="C27" s="2"/>
      <c r="D27" s="2"/>
      <c r="E27" s="2"/>
    </row>
    <row r="28" spans="1:5" x14ac:dyDescent="0.25">
      <c r="A28" s="9" t="s">
        <v>107</v>
      </c>
      <c r="B28" s="23" t="s">
        <v>520</v>
      </c>
      <c r="C28" s="2"/>
      <c r="D28" s="2"/>
      <c r="E28" s="2"/>
    </row>
    <row r="29" spans="1:5" x14ac:dyDescent="0.25">
      <c r="A29" s="9" t="s">
        <v>109</v>
      </c>
      <c r="B29" s="23" t="s">
        <v>521</v>
      </c>
      <c r="C29" s="2"/>
      <c r="D29" s="2"/>
      <c r="E29" s="2"/>
    </row>
    <row r="30" spans="1:5" x14ac:dyDescent="0.25">
      <c r="A30" s="9" t="s">
        <v>111</v>
      </c>
      <c r="B30" s="23" t="s">
        <v>522</v>
      </c>
      <c r="C30" s="2"/>
      <c r="D30" s="2"/>
      <c r="E30" s="2"/>
    </row>
    <row r="32" spans="1:5" x14ac:dyDescent="0.25">
      <c r="A32" s="4" t="s">
        <v>523</v>
      </c>
      <c r="B32" s="2"/>
      <c r="C32" s="2"/>
      <c r="D32" s="2"/>
      <c r="E32" s="2"/>
    </row>
  </sheetData>
  <mergeCells count="14">
    <mergeCell ref="B30:E30"/>
    <mergeCell ref="A11:E11"/>
    <mergeCell ref="B29:E29"/>
    <mergeCell ref="A1:E1"/>
    <mergeCell ref="A32:E32"/>
    <mergeCell ref="A8:E8"/>
    <mergeCell ref="B28:E28"/>
    <mergeCell ref="A18:E18"/>
    <mergeCell ref="A27:E27"/>
    <mergeCell ref="A21:E21"/>
    <mergeCell ref="A25:C25"/>
    <mergeCell ref="A4:E4"/>
    <mergeCell ref="A2:E2"/>
    <mergeCell ref="A15:E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#2 FSGS Primary</vt:lpstr>
      <vt:lpstr>FSGS Primary Prog</vt:lpstr>
      <vt:lpstr>#3 FSGS Secondary</vt:lpstr>
      <vt:lpstr>FSGS Secondary Prog</vt:lpstr>
      <vt:lpstr>#6 IgAN</vt:lpstr>
      <vt:lpstr>IgAN Prog</vt:lpstr>
      <vt:lpstr>#110 aHUS</vt:lpstr>
      <vt:lpstr>aHUS Prog</vt:lpstr>
      <vt:lpstr>#4 APOL1</vt:lpstr>
      <vt:lpstr>APOL1 Prog</vt:lpstr>
      <vt:lpstr>#10 C3G</vt:lpstr>
      <vt:lpstr>C3G Prog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timothy chou</cp:lastModifiedBy>
  <dcterms:created xsi:type="dcterms:W3CDTF">2026-06-05T20:56:40Z</dcterms:created>
  <dcterms:modified xsi:type="dcterms:W3CDTF">2026-06-05T22:21:38Z</dcterms:modified>
</cp:coreProperties>
</file>